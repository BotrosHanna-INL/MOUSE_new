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353E6C2C-A9B4-284F-A7F6-EC1A23886191}" xr6:coauthVersionLast="47" xr6:coauthVersionMax="47" xr10:uidLastSave="{00000000-0000-0000-0000-000000000000}"/>
  <bookViews>
    <workbookView xWindow="0" yWindow="660" windowWidth="30240" windowHeight="17180" tabRatio="877" activeTab="3"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AB132" i="6"/>
  <c r="X5" i="6"/>
  <c r="X3" i="6"/>
  <c r="M86" i="6"/>
  <c r="M84" i="6"/>
  <c r="D85" i="6"/>
  <c r="C86" i="6"/>
  <c r="G2"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AB87" i="6"/>
  <c r="AA87" i="6"/>
  <c r="Y87" i="6"/>
  <c r="X87" i="6"/>
  <c r="K87" i="6"/>
  <c r="C87" i="6"/>
  <c r="M87" i="6" s="1"/>
  <c r="B87" i="6"/>
  <c r="D87" i="6" s="1"/>
  <c r="AB86" i="6"/>
  <c r="AA86" i="6"/>
  <c r="Y86" i="6"/>
  <c r="X86" i="6"/>
  <c r="K86" i="6"/>
  <c r="B86" i="6"/>
  <c r="B85" i="6"/>
  <c r="AB84" i="6"/>
  <c r="AA84" i="6"/>
  <c r="Y84" i="6"/>
  <c r="X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J5" i="6"/>
  <c r="D5" i="6"/>
  <c r="B5" i="6"/>
  <c r="Y4" i="6"/>
  <c r="X4" i="6"/>
  <c r="K4" i="6"/>
  <c r="D4" i="6"/>
  <c r="B4" i="6"/>
  <c r="AB3" i="6"/>
  <c r="AA3" i="6"/>
  <c r="Y3" i="6"/>
  <c r="D3" i="6"/>
  <c r="B3" i="6"/>
  <c r="B2" i="6"/>
  <c r="D2" i="6" s="1"/>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D88" i="6" l="1"/>
  <c r="D86" i="6"/>
  <c r="C5" i="2"/>
  <c r="X155" i="1"/>
  <c r="Y155"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8" i="1"/>
  <c r="D99" i="6"/>
  <c r="AB15" i="6"/>
  <c r="AA15" i="6"/>
  <c r="AB20" i="6"/>
  <c r="D29" i="6"/>
  <c r="AA38" i="6"/>
  <c r="AB45" i="6"/>
  <c r="AB47" i="6"/>
  <c r="AA47" i="6"/>
  <c r="C55" i="2"/>
  <c r="AB35" i="6"/>
  <c r="AA35" i="6"/>
  <c r="AB193" i="6"/>
  <c r="AA193" i="6"/>
  <c r="Y153"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<sst xmlns="http://schemas.openxmlformats.org/spreadsheetml/2006/main" count="4617" uniqueCount="714">
  <si>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</si>
  <si>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</si>
  <si>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</si>
  <si>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</si>
  <si>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</si>
  <si>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</si>
  <si>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</si>
  <si>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</si>
  <si>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</si>
  <si>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</si>
  <si>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</si>
  <si>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</si>
  <si>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</si>
  <si>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</si>
  <si>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</si>
  <si>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</si>
  <si>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</si>
  <si>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</si>
  <si>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</si>
  <si>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</si>
  <si>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</si>
  <si>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</si>
  <si>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</si>
  <si>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</si>
  <si>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</si>
  <si>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</si>
  <si>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</si>
  <si>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</si>
  <si>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</si>
  <si>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</si>
  <si>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</si>
  <si>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</si>
  <si>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</si>
  <si>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</si>
  <si>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</si>
  <si>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</si>
  <si>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</si>
  <si>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</si>
  <si>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</si>
  <si>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</si>
  <si>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</si>
  <si>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</si>
  <si>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</si>
  <si>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</si>
  <si>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</si>
  <si>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</si>
  <si>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</si>
  <si>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</si>
  <si>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</si>
  <si>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</si>
  <si>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</si>
  <si>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</si>
  <si>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</si>
  <si>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</si>
  <si>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</si>
  <si>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</si>
  <si>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</si>
  <si>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</si>
  <si>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</si>
  <si>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</si>
  <si>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</si>
  <si>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</si>
  <si>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</si>
  <si>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</si>
  <si>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</si>
  <si>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</si>
  <si>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</si>
  <si>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</si>
  <si>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</si>
  <si>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</si>
  <si>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</si>
  <si>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</si>
  <si>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</si>
  <si>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</si>
  <si>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</si>
  <si>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</si>
  <si>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</si>
  <si>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</si>
  <si>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</si>
  <si>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</si>
  <si>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</si>
  <si>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</si>
  <si>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</si>
  <si>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</si>
  <si>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</si>
  <si>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</si>
  <si>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</si>
  <si>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</si>
  <si>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</si>
  <si>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</si>
  <si>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</si>
  <si>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</si>
  <si>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</si>
  <si>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</si>
  <si>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</si>
  <si>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</si>
  <si>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</si>
  <si>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</si>
  <si>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</si>
  <si>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</si>
  <si>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</si>
  <si>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</si>
  <si>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</si>
  <si>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</si>
  <si>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</si>
  <si>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</si>
  <si>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</si>
  <si>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</si>
  <si>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</si>
  <si>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</si>
  <si>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</si>
  <si>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</si>
  <si>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</si>
  <si>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</si>
  <si>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</si>
  <si>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</si>
  <si>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</si>
  <si>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</si>
  <si>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</si>
  <si>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</si>
  <si>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</si>
  <si>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</si>
  <si>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</si>
  <si>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</si>
  <si>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</si>
  <si>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</si>
  <si>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</si>
  <si>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</si>
  <si>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</si>
  <si>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</si>
  <si>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</si>
  <si>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</si>
  <si>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</si>
  <si>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</si>
  <si>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</si>
  <si>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</si>
  <si>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</si>
  <si>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</si>
  <si>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</si>
  <si>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</si>
  <si>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</si>
  <si>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</si>
  <si>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</si>
  <si>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</si>
  <si>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</si>
  <si>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</si>
  <si>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</si>
  <si>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</si>
  <si>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</si>
  <si>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</si>
  <si>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</si>
  <si>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</si>
  <si>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</si>
  <si>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</si>
  <si>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</si>
  <si>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</si>
  <si>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</si>
  <si>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</si>
  <si>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</si>
  <si>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</si>
  <si>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</si>
  <si>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</si>
  <si>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</si>
  <si>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</si>
  <si>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</si>
  <si>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</si>
  <si>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</si>
  <si>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</si>
  <si>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</si>
  <si>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</si>
  <si>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</si>
  <si>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</si>
  <si>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</si>
  <si>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</si>
  <si>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</si>
  <si>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</si>
  <si>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</si>
  <si>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</si>
  <si>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</si>
  <si>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</si>
  <si>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</si>
  <si>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</si>
  <si>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</si>
  <si>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</si>
  <si>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</si>
  <si>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</si>
  <si>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</si>
  <si>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</si>
  <si>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</si>
  <si>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</si>
  <si>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</si>
  <si>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</si>
  <si>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</si>
  <si>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</si>
  <si>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</si>
  <si>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</si>
  <si>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</si>
  <si>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</si>
  <si>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</si>
  <si>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</si>
  <si>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</si>
  <si>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</si>
  <si>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</si>
  <si>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</si>
  <si>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</si>
  <si>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</si>
  <si>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</si>
  <si>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</si>
  <si>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</si>
  <si>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</si>
  <si>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</si>
  <si>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</si>
  <si>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</si>
  <si>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</si>
  <si>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</si>
  <si>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</si>
  <si>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</si>
  <si>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</si>
  <si>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</si>
  <si>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</si>
  <si>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</si>
  <si>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</si>
  <si>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</si>
  <si>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</si>
  <si>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</si>
  <si>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</si>
  <si>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</si>
  <si>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</si>
  <si>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</si>
  <si>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</si>
  <si>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</si>
  <si>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</si>
  <si>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</si>
  <si>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</si>
  <si>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</si>
  <si>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</si>
  <si>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</si>
  <si>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</si>
  <si>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</si>
  <si>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</si>
  <si>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</si>
  <si>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</si>
  <si>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</si>
  <si>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</si>
  <si>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</si>
  <si>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</si>
  <si>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</si>
  <si>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</si>
  <si>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</si>
  <si>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</si>
  <si>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</si>
  <si>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</si>
  <si>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</si>
  <si>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</si>
  <si>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</si>
  <si>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</si>
  <si>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</si>
  <si>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</si>
  <si>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</si>
  <si>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</si>
  <si>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</si>
  <si>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t>
  </si>
  <si>
    <t>Moderator Booster Mass</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</si>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</sst>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9"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3" xfId="0" applyFont="1" applyBorder="1" applyAlignment="1">
      <alignment horizontal="left" wrapText="1"/>
    </xf>
    <xf numFmtId="0" fontId="0" fillId="0" borderId="13" xfId="0" applyBorder="1"/>
    <xf numFmtId="0" fontId="0" fillId="0" borderId="9"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299">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zoomScale="140" zoomScaleNormal="100" workbookViewId="0">
      <pane ySplit="1" topLeftCell="A179" activePane="bottomLeft" state="frozen"/>
      <selection activeCell="C1" sqref="C1"/>
      <selection pane="bottomLeft" activeCell="C173" sqref="C17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13.16406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7" t="s">
        <v>41</v>
      </c>
      <c r="U3" s="154"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9"/>
      <c r="U4" s="149"/>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54"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9"/>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7" t="s">
        <v>74</v>
      </c>
      <c r="T11" s="147" t="s">
        <v>75</v>
      </c>
      <c r="U11" s="152"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8"/>
      <c r="T12" s="148"/>
      <c r="U12" s="148"/>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9"/>
      <c r="T13" s="149"/>
      <c r="U13" s="149"/>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7" t="s">
        <v>74</v>
      </c>
      <c r="T15" s="147" t="s">
        <v>75</v>
      </c>
      <c r="U15" s="152"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8"/>
      <c r="T16" s="148"/>
      <c r="U16" s="148"/>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9"/>
      <c r="T17" s="149"/>
      <c r="U17" s="149"/>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7" t="s">
        <v>105</v>
      </c>
      <c r="T22" s="147" t="s">
        <v>75</v>
      </c>
      <c r="U22" s="152"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8"/>
      <c r="T23" s="148"/>
      <c r="U23" s="148"/>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9"/>
      <c r="T24" s="149"/>
      <c r="U24" s="149"/>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7" t="s">
        <v>105</v>
      </c>
      <c r="T26" s="147" t="s">
        <v>75</v>
      </c>
      <c r="U26" s="152"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8"/>
      <c r="T27" s="148"/>
      <c r="U27" s="148"/>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9"/>
      <c r="T28" s="149"/>
      <c r="U28" s="149"/>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7" t="s">
        <v>105</v>
      </c>
      <c r="T30" s="147" t="s">
        <v>75</v>
      </c>
      <c r="U30" s="152"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8"/>
      <c r="T31" s="148"/>
      <c r="U31" s="148"/>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9"/>
      <c r="T32" s="149"/>
      <c r="U32" s="149"/>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7" t="s">
        <v>74</v>
      </c>
      <c r="T37" s="147" t="s">
        <v>75</v>
      </c>
      <c r="U37" s="152"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8"/>
      <c r="T38" s="148"/>
      <c r="U38" s="148"/>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9"/>
      <c r="T39" s="149"/>
      <c r="U39" s="149"/>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7" t="s">
        <v>74</v>
      </c>
      <c r="T41" s="147" t="s">
        <v>75</v>
      </c>
      <c r="U41" s="152"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8"/>
      <c r="T42" s="148"/>
      <c r="U42" s="148"/>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9"/>
      <c r="T43" s="149"/>
      <c r="U43" s="149"/>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7" t="s">
        <v>105</v>
      </c>
      <c r="T46" s="147" t="s">
        <v>75</v>
      </c>
      <c r="U46" s="152"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8"/>
      <c r="T47" s="148"/>
      <c r="U47" s="148"/>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9"/>
      <c r="T48" s="149"/>
      <c r="U48" s="149"/>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7" t="s">
        <v>105</v>
      </c>
      <c r="T52" s="147" t="s">
        <v>75</v>
      </c>
      <c r="U52" s="152" t="s">
        <v>76</v>
      </c>
      <c r="V52" s="153"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8"/>
      <c r="T53" s="148"/>
      <c r="U53" s="148"/>
      <c r="V53" s="148"/>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9"/>
      <c r="T54" s="149"/>
      <c r="U54" s="149"/>
      <c r="V54" s="149"/>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7" t="s">
        <v>105</v>
      </c>
      <c r="T57" s="147" t="s">
        <v>75</v>
      </c>
      <c r="U57" s="152"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8"/>
      <c r="T58" s="148"/>
      <c r="U58" s="148"/>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9"/>
      <c r="T59" s="149"/>
      <c r="U59" s="149"/>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7" t="s">
        <v>74</v>
      </c>
      <c r="T61" s="147" t="s">
        <v>75</v>
      </c>
      <c r="U61" s="152"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8"/>
      <c r="T62" s="148"/>
      <c r="U62" s="148"/>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9"/>
      <c r="T63" s="149"/>
      <c r="U63" s="149"/>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50"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8"/>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8"/>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8"/>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8"/>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9"/>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50" t="s">
        <v>210</v>
      </c>
      <c r="U76" s="156"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8"/>
      <c r="U77" s="148"/>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8"/>
      <c r="U78" s="148"/>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8"/>
      <c r="U79" s="148"/>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9"/>
      <c r="U80" s="149"/>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6" ht="15" customHeight="1" x14ac:dyDescent="0.2">
      <c r="A84" s="53">
        <v>221.3</v>
      </c>
      <c r="B84" s="38">
        <f>IF(ISNUMBER(A84),
IF(AND(A84=INT(A84), MOD(A84, 10) = 0), 0,
IF(AND(A84=INT(A84), LEN(A84)=2), 1,
IF(AND(A84=INT(A84), LEN(A84)=3), 2,
LEN(A84) - FIND(".", A84) + 2)
)
),
"")</f>
        <v>3</v>
      </c>
      <c r="C84" s="56" t="s">
        <v>235</v>
      </c>
      <c r="D84" s="39" t="str">
        <f t="shared" si="4"/>
        <v xml:space="preserve">                  Non-Fuel Core Internals</v>
      </c>
      <c r="E84" s="39" t="s">
        <v>35</v>
      </c>
      <c r="F84" s="39"/>
      <c r="G84" s="39"/>
      <c r="H84" s="39"/>
      <c r="I84" s="39"/>
      <c r="J84" s="43"/>
      <c r="K84" s="61"/>
      <c r="L84" s="49"/>
      <c r="M84" s="49"/>
      <c r="N84" s="49"/>
      <c r="O84" s="49"/>
      <c r="P84" s="49"/>
      <c r="Q84" s="66"/>
      <c r="R84" s="49"/>
      <c r="S84" s="59"/>
      <c r="T84" s="49"/>
      <c r="U84" s="49"/>
      <c r="V84" s="49"/>
      <c r="W84" s="77"/>
      <c r="X84" s="80"/>
      <c r="Y84" s="80"/>
      <c r="Z84" s="77"/>
      <c r="AA84" s="79"/>
      <c r="AB84" s="79"/>
      <c r="AC84" s="77"/>
      <c r="AD84" s="79"/>
      <c r="AE84" s="79"/>
      <c r="AF84" s="79"/>
      <c r="AG84" s="77"/>
    </row>
    <row r="85" spans="1:36" ht="14.5" customHeight="1" x14ac:dyDescent="0.2">
      <c r="A85" s="53">
        <v>221.31</v>
      </c>
      <c r="B85" s="38">
        <f>IF(ISNUMBER(A85),
    IF(AND(A85=INT(A85), MOD(A85, 10) = 0), 0,
        IF(AND(A85=INT(A85), LEN(A85)=2), 1,
            IF(AND(A85=INT(A85), LEN(A85)=3), 2,
                LEN(A85) - FIND(".", A85) + 2)
        )
    ),
"")</f>
        <v>4</v>
      </c>
      <c r="C85" s="56" t="s">
        <v>236</v>
      </c>
      <c r="D85" s="39" t="str">
        <f t="shared" si="4"/>
        <v xml:space="preserve">                        Reflector</v>
      </c>
      <c r="E85" s="39"/>
      <c r="F85" s="39"/>
      <c r="G85" s="39"/>
      <c r="H85" s="39"/>
      <c r="I85" s="39"/>
      <c r="J85" s="43"/>
      <c r="K85" s="64"/>
      <c r="L85" s="49"/>
      <c r="M85" s="59"/>
      <c r="N85" s="49"/>
      <c r="O85" s="49"/>
      <c r="P85" s="49"/>
      <c r="Q85" s="66"/>
      <c r="R85" s="49"/>
      <c r="S85" s="59"/>
      <c r="T85" s="59"/>
      <c r="U85" s="49"/>
      <c r="V85" s="49"/>
      <c r="W85" s="77"/>
      <c r="X85" s="80"/>
      <c r="Y85" s="80"/>
      <c r="Z85" s="77"/>
      <c r="AA85" s="79"/>
      <c r="AB85" s="79"/>
      <c r="AC85" s="77"/>
      <c r="AD85" s="79"/>
      <c r="AE85" s="79"/>
      <c r="AF85" s="79"/>
      <c r="AG85" s="77"/>
    </row>
    <row r="86" spans="1:36" ht="14.5" customHeight="1" x14ac:dyDescent="0.2">
      <c r="A86" s="53">
        <v>221.31100000000001</v>
      </c>
      <c r="B86" s="38">
        <f>IF(ISNUMBER(A86),
IF(AND(A86=INT(A86), MOD(A86, 10) = 0), 0,
IF(AND(A86=INT(A86), LEN(A86)=2), 1,
IF(AND(A86=INT(A86), LEN(A86)=3), 2,
LEN(A86) - FIND(".", A86) + 2)
)
),
"")</f>
        <v>5</v>
      </c>
      <c r="C86" s="56" t="s">
        <v>237</v>
      </c>
      <c r="D86" s="39" t="str">
        <f t="shared" si="4"/>
        <v xml:space="preserve">                              Radial Reflector</v>
      </c>
      <c r="E86" s="39" t="s">
        <v>35</v>
      </c>
      <c r="F86" s="39" t="s">
        <v>237</v>
      </c>
      <c r="G86" s="39" t="s">
        <v>224</v>
      </c>
      <c r="H86" s="39"/>
      <c r="I86" s="39"/>
      <c r="J86" s="43">
        <f>MARVEL_Cost!C29</f>
        <v>120231</v>
      </c>
      <c r="K86" s="64">
        <f>MARVEL_Cost!C27/N86</f>
        <v>10062.893081761007</v>
      </c>
      <c r="L86" s="49" t="s">
        <v>186</v>
      </c>
      <c r="M86" s="59" t="s">
        <v>238</v>
      </c>
      <c r="N86" s="49">
        <f>'Design Variables'!B17</f>
        <v>318</v>
      </c>
      <c r="O86" s="49" t="s">
        <v>188</v>
      </c>
      <c r="P86" s="49">
        <v>1</v>
      </c>
      <c r="Q86" s="66">
        <v>2024</v>
      </c>
      <c r="R86" s="49" t="s">
        <v>219</v>
      </c>
      <c r="S86" s="59" t="s">
        <v>209</v>
      </c>
      <c r="T86" s="59" t="s">
        <v>210</v>
      </c>
      <c r="U86" s="156" t="s">
        <v>211</v>
      </c>
      <c r="V86" s="49"/>
      <c r="W86" s="77" t="s">
        <v>226</v>
      </c>
      <c r="X86" s="80">
        <f t="shared" ref="X86:X93" si="13">0.9*$J86</f>
        <v>108207.90000000001</v>
      </c>
      <c r="Y86" s="80">
        <f t="shared" ref="Y86:Y93" si="14">1.5*J86</f>
        <v>180346.5</v>
      </c>
      <c r="Z86" s="77" t="s">
        <v>44</v>
      </c>
      <c r="AA86" s="79">
        <f t="shared" ref="AA86:AA93" si="15">0.9*K86</f>
        <v>9056.6037735849059</v>
      </c>
      <c r="AB86" s="79">
        <f t="shared" ref="AB86:AB93" si="16">1.3*K86</f>
        <v>13081.761006289309</v>
      </c>
      <c r="AC86" s="77" t="s">
        <v>44</v>
      </c>
      <c r="AD86" s="79" t="s">
        <v>45</v>
      </c>
      <c r="AE86" s="79" t="s">
        <v>46</v>
      </c>
      <c r="AF86" s="79" t="s">
        <v>47</v>
      </c>
      <c r="AG86" s="77" t="s">
        <v>48</v>
      </c>
    </row>
    <row r="87" spans="1:36" ht="14.5" customHeight="1" x14ac:dyDescent="0.2">
      <c r="A87" s="53">
        <v>221.31200000000001</v>
      </c>
      <c r="B87" s="38">
        <f t="shared" ref="B87:B93" si="17">IF(ISNUMBER(A87),
    IF(AND(A87=INT(A87), MOD(A87, 10) = 0), 0,
        IF(AND(A87=INT(A87), LEN(A87)=2), 1,
            IF(AND(A87=INT(A87), LEN(A87)=3), 2,
                LEN(A87) - FIND(".", A87) + 2)
        )
    ),
"")</f>
        <v>5</v>
      </c>
      <c r="C87" s="56" t="s">
        <v>239</v>
      </c>
      <c r="D87" s="39" t="str">
        <f t="shared" si="4"/>
        <v xml:space="preserve">                              Axial Reflector</v>
      </c>
      <c r="E87" s="39" t="s">
        <v>35</v>
      </c>
      <c r="F87" s="39" t="s">
        <v>239</v>
      </c>
      <c r="G87" s="39" t="s">
        <v>224</v>
      </c>
      <c r="H87" s="39"/>
      <c r="I87" s="39"/>
      <c r="J87" s="43">
        <v>120231</v>
      </c>
      <c r="K87" s="64">
        <v>10062.893081761011</v>
      </c>
      <c r="L87" s="49" t="s">
        <v>186</v>
      </c>
      <c r="M87" s="59" t="s">
        <v>240</v>
      </c>
      <c r="N87" s="49">
        <v>318</v>
      </c>
      <c r="O87" s="49" t="s">
        <v>188</v>
      </c>
      <c r="P87" s="49">
        <v>1</v>
      </c>
      <c r="Q87" s="66">
        <v>2024</v>
      </c>
      <c r="R87" s="49" t="s">
        <v>219</v>
      </c>
      <c r="S87" s="59" t="s">
        <v>209</v>
      </c>
      <c r="T87" s="59" t="s">
        <v>210</v>
      </c>
      <c r="U87" s="148"/>
      <c r="V87" s="49"/>
      <c r="W87" s="77" t="s">
        <v>226</v>
      </c>
      <c r="X87" s="80">
        <f t="shared" si="13"/>
        <v>108207.90000000001</v>
      </c>
      <c r="Y87" s="80">
        <f t="shared" si="14"/>
        <v>180346.5</v>
      </c>
      <c r="Z87" s="77" t="s">
        <v>44</v>
      </c>
      <c r="AA87" s="79">
        <f t="shared" si="15"/>
        <v>9056.6037735849095</v>
      </c>
      <c r="AB87" s="79">
        <f t="shared" si="16"/>
        <v>13081.761006289315</v>
      </c>
      <c r="AC87" s="77" t="s">
        <v>44</v>
      </c>
      <c r="AD87" s="79" t="s">
        <v>45</v>
      </c>
      <c r="AE87" s="79" t="s">
        <v>46</v>
      </c>
      <c r="AF87" s="79" t="s">
        <v>47</v>
      </c>
      <c r="AG87" s="77" t="s">
        <v>48</v>
      </c>
    </row>
    <row r="88" spans="1:36" ht="14.5" customHeight="1" x14ac:dyDescent="0.2">
      <c r="A88" s="53">
        <v>221.31100000000001</v>
      </c>
      <c r="B88" s="38">
        <f t="shared" si="17"/>
        <v>5</v>
      </c>
      <c r="C88" s="56" t="s">
        <v>237</v>
      </c>
      <c r="D88" s="39" t="str">
        <f t="shared" si="4"/>
        <v xml:space="preserve">                              Radial Reflector</v>
      </c>
      <c r="E88" s="39" t="s">
        <v>35</v>
      </c>
      <c r="F88" s="39" t="s">
        <v>237</v>
      </c>
      <c r="G88" s="39" t="s">
        <v>227</v>
      </c>
      <c r="H88" s="39"/>
      <c r="I88" s="39"/>
      <c r="J88" s="43"/>
      <c r="K88" s="64">
        <f>MARVEL_Cost!C28/N81</f>
        <v>44736.84210526316</v>
      </c>
      <c r="L88" s="49" t="s">
        <v>186</v>
      </c>
      <c r="M88" s="59" t="s">
        <v>238</v>
      </c>
      <c r="N88" s="49">
        <f>1000*'Design Variables'!B19</f>
        <v>19</v>
      </c>
      <c r="O88" s="49" t="s">
        <v>188</v>
      </c>
      <c r="P88" s="49">
        <v>1</v>
      </c>
      <c r="Q88" s="66">
        <v>2024</v>
      </c>
      <c r="R88" s="49" t="s">
        <v>219</v>
      </c>
      <c r="S88" s="59" t="s">
        <v>209</v>
      </c>
      <c r="T88" s="59" t="s">
        <v>210</v>
      </c>
      <c r="U88" s="148"/>
      <c r="V88" s="49"/>
      <c r="W88" s="77" t="s">
        <v>228</v>
      </c>
      <c r="X88" s="80">
        <f t="shared" si="13"/>
        <v>0</v>
      </c>
      <c r="Y88" s="80">
        <f t="shared" si="14"/>
        <v>0</v>
      </c>
      <c r="Z88" s="77" t="s">
        <v>44</v>
      </c>
      <c r="AA88" s="79">
        <f t="shared" si="15"/>
        <v>40263.157894736847</v>
      </c>
      <c r="AB88" s="79">
        <f t="shared" si="16"/>
        <v>58157.894736842107</v>
      </c>
      <c r="AC88" s="77" t="s">
        <v>44</v>
      </c>
      <c r="AD88" s="79" t="s">
        <v>45</v>
      </c>
      <c r="AE88" s="79" t="s">
        <v>46</v>
      </c>
      <c r="AF88" s="79" t="s">
        <v>47</v>
      </c>
      <c r="AG88" s="77" t="s">
        <v>48</v>
      </c>
    </row>
    <row r="89" spans="1:36" ht="14.5" customHeight="1" x14ac:dyDescent="0.2">
      <c r="A89" s="53">
        <v>221.31200000000001</v>
      </c>
      <c r="B89" s="38">
        <f t="shared" si="17"/>
        <v>5</v>
      </c>
      <c r="C89" s="56" t="s">
        <v>239</v>
      </c>
      <c r="D89" s="39" t="str">
        <f t="shared" si="4"/>
        <v xml:space="preserve">                              Axial Reflector</v>
      </c>
      <c r="E89" s="39" t="s">
        <v>35</v>
      </c>
      <c r="F89" s="39" t="s">
        <v>239</v>
      </c>
      <c r="G89" s="39" t="s">
        <v>227</v>
      </c>
      <c r="H89" s="39"/>
      <c r="I89" s="39"/>
      <c r="J89" s="43"/>
      <c r="K89" s="64">
        <v>44736.84210526316</v>
      </c>
      <c r="L89" s="49" t="s">
        <v>186</v>
      </c>
      <c r="M89" s="59" t="s">
        <v>240</v>
      </c>
      <c r="N89" s="49">
        <v>19</v>
      </c>
      <c r="O89" s="49" t="s">
        <v>188</v>
      </c>
      <c r="P89" s="49">
        <v>1</v>
      </c>
      <c r="Q89" s="66">
        <v>2024</v>
      </c>
      <c r="R89" s="49" t="s">
        <v>219</v>
      </c>
      <c r="S89" s="59" t="s">
        <v>209</v>
      </c>
      <c r="T89" s="59" t="s">
        <v>210</v>
      </c>
      <c r="U89" s="148"/>
      <c r="V89" s="49"/>
      <c r="W89" s="77" t="s">
        <v>228</v>
      </c>
      <c r="X89" s="80">
        <f t="shared" si="13"/>
        <v>0</v>
      </c>
      <c r="Y89" s="80">
        <f t="shared" si="14"/>
        <v>0</v>
      </c>
      <c r="Z89" s="77" t="s">
        <v>44</v>
      </c>
      <c r="AA89" s="79">
        <f t="shared" si="15"/>
        <v>40263.157894736847</v>
      </c>
      <c r="AB89" s="79">
        <f t="shared" si="16"/>
        <v>58157.894736842107</v>
      </c>
      <c r="AC89" s="77" t="s">
        <v>44</v>
      </c>
      <c r="AD89" s="79" t="s">
        <v>45</v>
      </c>
      <c r="AE89" s="79" t="s">
        <v>46</v>
      </c>
      <c r="AF89" s="79" t="s">
        <v>47</v>
      </c>
      <c r="AG89" s="77" t="s">
        <v>48</v>
      </c>
    </row>
    <row r="90" spans="1:36" ht="57" customHeight="1" x14ac:dyDescent="0.2">
      <c r="A90" s="53">
        <v>221.31100000000001</v>
      </c>
      <c r="B90" s="38">
        <f t="shared" si="17"/>
        <v>5</v>
      </c>
      <c r="C90" s="56" t="s">
        <v>237</v>
      </c>
      <c r="D90" s="39" t="str">
        <f t="shared" si="4"/>
        <v xml:space="preserve">                              Radial Reflector</v>
      </c>
      <c r="E90" s="39" t="s">
        <v>35</v>
      </c>
      <c r="F90" s="39" t="s">
        <v>237</v>
      </c>
      <c r="G90" s="39" t="s">
        <v>229</v>
      </c>
      <c r="H90" s="39"/>
      <c r="I90" s="39"/>
      <c r="J90" s="43"/>
      <c r="K90" s="64">
        <v>80</v>
      </c>
      <c r="L90" s="49" t="s">
        <v>186</v>
      </c>
      <c r="M90" s="59" t="s">
        <v>238</v>
      </c>
      <c r="N90" s="49"/>
      <c r="O90" s="49"/>
      <c r="P90" s="49"/>
      <c r="Q90" s="66">
        <v>2022</v>
      </c>
      <c r="R90" s="49" t="s">
        <v>219</v>
      </c>
      <c r="S90" s="59" t="s">
        <v>230</v>
      </c>
      <c r="T90" s="59" t="s">
        <v>231</v>
      </c>
      <c r="U90" s="148"/>
      <c r="V90" s="49"/>
      <c r="W90" s="77" t="s">
        <v>157</v>
      </c>
      <c r="X90" s="80">
        <f t="shared" si="13"/>
        <v>0</v>
      </c>
      <c r="Y90" s="80">
        <f t="shared" si="14"/>
        <v>0</v>
      </c>
      <c r="Z90" s="77" t="s">
        <v>44</v>
      </c>
      <c r="AA90" s="79">
        <f t="shared" si="15"/>
        <v>72</v>
      </c>
      <c r="AB90" s="79">
        <f t="shared" si="16"/>
        <v>104</v>
      </c>
      <c r="AC90" s="77" t="s">
        <v>44</v>
      </c>
      <c r="AD90" s="79" t="s">
        <v>45</v>
      </c>
      <c r="AE90" s="79" t="s">
        <v>46</v>
      </c>
      <c r="AF90" s="79" t="s">
        <v>47</v>
      </c>
      <c r="AG90" s="77" t="s">
        <v>48</v>
      </c>
    </row>
    <row r="91" spans="1:36" ht="57" customHeight="1" x14ac:dyDescent="0.2">
      <c r="A91" s="53">
        <v>221.31200000000001</v>
      </c>
      <c r="B91" s="38">
        <f t="shared" si="17"/>
        <v>5</v>
      </c>
      <c r="C91" s="56" t="s">
        <v>239</v>
      </c>
      <c r="D91" s="39" t="str">
        <f t="shared" si="4"/>
        <v xml:space="preserve">                              Axial Reflector</v>
      </c>
      <c r="E91" s="39" t="s">
        <v>35</v>
      </c>
      <c r="F91" s="39" t="s">
        <v>239</v>
      </c>
      <c r="G91" s="39" t="s">
        <v>229</v>
      </c>
      <c r="H91" s="39"/>
      <c r="I91" s="39"/>
      <c r="J91" s="43"/>
      <c r="K91" s="64">
        <v>80</v>
      </c>
      <c r="L91" s="49" t="s">
        <v>186</v>
      </c>
      <c r="M91" s="59" t="s">
        <v>240</v>
      </c>
      <c r="N91" s="49"/>
      <c r="O91" s="49"/>
      <c r="P91" s="49"/>
      <c r="Q91" s="66">
        <v>2022</v>
      </c>
      <c r="R91" s="49" t="s">
        <v>219</v>
      </c>
      <c r="S91" s="59" t="s">
        <v>230</v>
      </c>
      <c r="T91" s="59" t="s">
        <v>231</v>
      </c>
      <c r="U91" s="148"/>
      <c r="V91" s="49"/>
      <c r="W91" s="77" t="s">
        <v>157</v>
      </c>
      <c r="X91" s="80">
        <f t="shared" si="13"/>
        <v>0</v>
      </c>
      <c r="Y91" s="80">
        <f t="shared" si="14"/>
        <v>0</v>
      </c>
      <c r="Z91" s="77" t="s">
        <v>44</v>
      </c>
      <c r="AA91" s="79">
        <f t="shared" si="15"/>
        <v>72</v>
      </c>
      <c r="AB91" s="79">
        <f t="shared" si="16"/>
        <v>104</v>
      </c>
      <c r="AC91" s="77" t="s">
        <v>44</v>
      </c>
      <c r="AD91" s="79" t="s">
        <v>45</v>
      </c>
      <c r="AE91" s="79" t="s">
        <v>46</v>
      </c>
      <c r="AF91" s="79" t="s">
        <v>47</v>
      </c>
      <c r="AG91" s="77" t="s">
        <v>48</v>
      </c>
    </row>
    <row r="92" spans="1:36" ht="29" customHeight="1" x14ac:dyDescent="0.2">
      <c r="A92" s="53">
        <v>221.31100000000001</v>
      </c>
      <c r="B92" s="38">
        <f t="shared" si="17"/>
        <v>5</v>
      </c>
      <c r="C92" s="56" t="s">
        <v>237</v>
      </c>
      <c r="D92" s="39" t="str">
        <f t="shared" si="4"/>
        <v xml:space="preserve">                              Radial Reflector</v>
      </c>
      <c r="E92" s="39" t="s">
        <v>35</v>
      </c>
      <c r="F92" s="39" t="s">
        <v>237</v>
      </c>
      <c r="G92" s="39" t="s">
        <v>241</v>
      </c>
      <c r="H92" s="39"/>
      <c r="I92" s="39"/>
      <c r="J92" s="43"/>
      <c r="K92" s="64">
        <v>134.1</v>
      </c>
      <c r="L92" s="49" t="s">
        <v>186</v>
      </c>
      <c r="M92" s="59" t="s">
        <v>238</v>
      </c>
      <c r="N92" s="49"/>
      <c r="O92" s="49"/>
      <c r="P92" s="49"/>
      <c r="Q92" s="66">
        <v>2017</v>
      </c>
      <c r="R92" s="49" t="s">
        <v>219</v>
      </c>
      <c r="S92" s="59" t="s">
        <v>242</v>
      </c>
      <c r="T92" s="59"/>
      <c r="U92" s="148"/>
      <c r="V92" s="49"/>
      <c r="W92" s="77" t="s">
        <v>157</v>
      </c>
      <c r="X92" s="80">
        <f t="shared" si="13"/>
        <v>0</v>
      </c>
      <c r="Y92" s="80">
        <f t="shared" si="14"/>
        <v>0</v>
      </c>
      <c r="Z92" s="77" t="s">
        <v>44</v>
      </c>
      <c r="AA92" s="79">
        <f t="shared" si="15"/>
        <v>120.69</v>
      </c>
      <c r="AB92" s="79">
        <f t="shared" si="16"/>
        <v>174.33</v>
      </c>
      <c r="AC92" s="77" t="s">
        <v>44</v>
      </c>
      <c r="AD92" s="79" t="s">
        <v>45</v>
      </c>
      <c r="AE92" s="79" t="s">
        <v>46</v>
      </c>
      <c r="AF92" s="79" t="s">
        <v>47</v>
      </c>
      <c r="AG92" s="77" t="s">
        <v>48</v>
      </c>
    </row>
    <row r="93" spans="1:36" ht="15" customHeight="1" x14ac:dyDescent="0.2">
      <c r="A93" s="53">
        <v>221.31200000000001</v>
      </c>
      <c r="B93" s="38">
        <f t="shared" si="17"/>
        <v>5</v>
      </c>
      <c r="C93" s="56" t="s">
        <v>239</v>
      </c>
      <c r="D93" s="39" t="str">
        <f t="shared" si="4"/>
        <v xml:space="preserve">                              Axial Reflector</v>
      </c>
      <c r="E93" s="39" t="s">
        <v>35</v>
      </c>
      <c r="F93" s="39" t="s">
        <v>239</v>
      </c>
      <c r="G93" s="39" t="s">
        <v>241</v>
      </c>
      <c r="H93" s="39"/>
      <c r="I93" s="39"/>
      <c r="J93" s="43"/>
      <c r="K93" s="64">
        <v>134.1</v>
      </c>
      <c r="L93" s="49" t="s">
        <v>186</v>
      </c>
      <c r="M93" s="59" t="s">
        <v>240</v>
      </c>
      <c r="N93" s="49"/>
      <c r="O93" s="49"/>
      <c r="P93" s="49"/>
      <c r="Q93" s="66">
        <v>2017</v>
      </c>
      <c r="R93" s="49" t="s">
        <v>219</v>
      </c>
      <c r="S93" s="59" t="s">
        <v>242</v>
      </c>
      <c r="T93" s="59"/>
      <c r="U93" s="148"/>
      <c r="V93" s="49"/>
      <c r="W93" s="77" t="s">
        <v>157</v>
      </c>
      <c r="X93" s="80">
        <f t="shared" si="13"/>
        <v>0</v>
      </c>
      <c r="Y93" s="80">
        <f t="shared" si="14"/>
        <v>0</v>
      </c>
      <c r="Z93" s="77" t="s">
        <v>44</v>
      </c>
      <c r="AA93" s="79">
        <f t="shared" si="15"/>
        <v>120.69</v>
      </c>
      <c r="AB93" s="79">
        <f t="shared" si="16"/>
        <v>174.33</v>
      </c>
      <c r="AC93" s="77" t="s">
        <v>44</v>
      </c>
      <c r="AD93" s="79" t="s">
        <v>45</v>
      </c>
      <c r="AE93" s="79" t="s">
        <v>46</v>
      </c>
      <c r="AF93" s="79" t="s">
        <v>47</v>
      </c>
      <c r="AG93" s="77" t="s">
        <v>48</v>
      </c>
    </row>
    <row r="94" spans="1:36" ht="15" customHeight="1" x14ac:dyDescent="0.2">
      <c r="A94" s="53">
        <v>221.32</v>
      </c>
      <c r="B94" s="38">
        <f>IF(ISNUMBER(A94),
IF(AND(A94=INT(A94), MOD(A94, 10) = 0), 0,
IF(AND(A94=INT(A94), LEN(A94)=2), 1,
IF(AND(A94=INT(A94), LEN(A94)=3), 2,
LEN(A94) - FIND(".", A94) + 2)
)
),
"")</f>
        <v>4</v>
      </c>
      <c r="C94" s="56" t="s">
        <v>243</v>
      </c>
      <c r="D94" s="39" t="str">
        <f t="shared" si="4"/>
        <v xml:space="preserve">                        Shield</v>
      </c>
      <c r="E94" s="39"/>
      <c r="F94" s="39"/>
      <c r="G94" s="39"/>
      <c r="H94" s="39"/>
      <c r="I94" s="39"/>
      <c r="J94" s="43"/>
      <c r="K94" s="61"/>
      <c r="L94" s="49"/>
      <c r="M94" s="59"/>
      <c r="N94" s="49"/>
      <c r="O94" s="49"/>
      <c r="P94" s="49"/>
      <c r="Q94" s="66"/>
      <c r="R94" s="49"/>
      <c r="S94" s="59"/>
      <c r="T94" s="59"/>
      <c r="U94" s="148"/>
      <c r="V94" s="49"/>
      <c r="W94" s="77"/>
      <c r="X94" s="80"/>
      <c r="Y94" s="80"/>
      <c r="Z94" s="77"/>
      <c r="AA94" s="79"/>
      <c r="AB94" s="79"/>
      <c r="AC94" s="77"/>
      <c r="AD94" s="79"/>
      <c r="AE94" s="79"/>
      <c r="AF94" s="79"/>
      <c r="AG94" s="77"/>
    </row>
    <row r="95" spans="1:36" s="33" customFormat="1" ht="30" customHeight="1" x14ac:dyDescent="0.15">
      <c r="A95" s="53">
        <v>221.321</v>
      </c>
      <c r="B95" s="38">
        <f>IF(ISNUMBER(A95),
IF(AND(A95=INT(A95), MOD(A95, 10) = 0), 0,
IF(AND(A95=INT(A95), LEN(A95)=2), 1,
IF(AND(A95=INT(A95), LEN(A95)=3), 2,
LEN(A95) - FIND(".", A95) + 2)
)
),
"")</f>
        <v>5</v>
      </c>
      <c r="C95" s="56" t="s">
        <v>244</v>
      </c>
      <c r="D95" s="39" t="str">
        <f t="shared" si="4"/>
        <v xml:space="preserve">                              In Vessel Shield Materials</v>
      </c>
      <c r="E95" s="39" t="s">
        <v>35</v>
      </c>
      <c r="F95" s="39" t="s">
        <v>245</v>
      </c>
      <c r="G95" s="39" t="s">
        <v>217</v>
      </c>
      <c r="H95" s="39"/>
      <c r="I95" s="39"/>
      <c r="J95" s="43">
        <f>MARVEL_Cost!C30</f>
        <v>647990.6</v>
      </c>
      <c r="K95" s="61">
        <f>K78</f>
        <v>14285.714285714286</v>
      </c>
      <c r="L95" s="49" t="s">
        <v>186</v>
      </c>
      <c r="M95" s="59" t="s">
        <v>246</v>
      </c>
      <c r="N95" s="49">
        <f>N78</f>
        <v>28</v>
      </c>
      <c r="O95" s="49" t="s">
        <v>188</v>
      </c>
      <c r="P95" s="49">
        <v>1</v>
      </c>
      <c r="Q95" s="66">
        <v>2024</v>
      </c>
      <c r="R95" s="49" t="s">
        <v>219</v>
      </c>
      <c r="S95" s="59" t="s">
        <v>209</v>
      </c>
      <c r="T95" s="59"/>
      <c r="U95" s="148"/>
      <c r="V95" s="49"/>
      <c r="W95" s="77" t="s">
        <v>157</v>
      </c>
      <c r="X95" s="80">
        <f>0.9*$J95</f>
        <v>583191.54</v>
      </c>
      <c r="Y95" s="80">
        <f>1.5*J95</f>
        <v>971985.89999999991</v>
      </c>
      <c r="Z95" s="77" t="s">
        <v>44</v>
      </c>
      <c r="AA95" s="79">
        <f t="shared" ref="AA95:AA103" si="18">0.9*K95</f>
        <v>12857.142857142859</v>
      </c>
      <c r="AB95" s="79">
        <f t="shared" ref="AB95:AB103" si="19">1.3*K95</f>
        <v>18571.428571428572</v>
      </c>
      <c r="AC95" s="77" t="s">
        <v>44</v>
      </c>
      <c r="AD95" s="79" t="s">
        <v>45</v>
      </c>
      <c r="AE95" s="79" t="s">
        <v>46</v>
      </c>
      <c r="AF95" s="79" t="s">
        <v>47</v>
      </c>
      <c r="AG95" s="77" t="s">
        <v>48</v>
      </c>
    </row>
    <row r="96" spans="1:36" s="33" customFormat="1" ht="30" customHeight="1" x14ac:dyDescent="0.15">
      <c r="A96" s="53">
        <v>221.322</v>
      </c>
      <c r="B96" s="38">
        <f>IF(ISNUMBER(A96),
IF(AND(A96=INT(A96), MOD(A96, 10) = 0), 0,
IF(AND(A96=INT(A96), LEN(A96)=2), 1,
IF(AND(A96=INT(A96), LEN(A96)=3), 2,
LEN(A96) - FIND(".", A96) + 2)
)
),
"")</f>
        <v>5</v>
      </c>
      <c r="C96" s="56" t="s">
        <v>247</v>
      </c>
      <c r="D96" s="39" t="str">
        <f t="shared" si="4"/>
        <v xml:space="preserve">                              Out The Vessel Shield Materials</v>
      </c>
      <c r="E96" s="39" t="s">
        <v>35</v>
      </c>
      <c r="F96" s="39" t="s">
        <v>248</v>
      </c>
      <c r="G96" s="39" t="s">
        <v>249</v>
      </c>
      <c r="H96" s="39"/>
      <c r="I96" s="39"/>
      <c r="J96" s="43"/>
      <c r="K96" s="61">
        <v>20</v>
      </c>
      <c r="L96" s="49" t="s">
        <v>186</v>
      </c>
      <c r="M96" s="59" t="s">
        <v>250</v>
      </c>
      <c r="N96" s="49">
        <f>'Design Variables'!B43</f>
        <v>925.3</v>
      </c>
      <c r="O96" s="49" t="s">
        <v>188</v>
      </c>
      <c r="P96" s="49">
        <v>1</v>
      </c>
      <c r="Q96" s="66">
        <v>2024</v>
      </c>
      <c r="R96" s="49" t="s">
        <v>219</v>
      </c>
      <c r="S96" s="59" t="s">
        <v>209</v>
      </c>
      <c r="T96" s="59"/>
      <c r="U96" s="149"/>
      <c r="V96" s="49"/>
      <c r="W96" s="77" t="s">
        <v>157</v>
      </c>
      <c r="X96" s="80">
        <f>0.9*$J96</f>
        <v>0</v>
      </c>
      <c r="Y96" s="80">
        <f>1.5*J96</f>
        <v>0</v>
      </c>
      <c r="Z96" s="77" t="s">
        <v>44</v>
      </c>
      <c r="AA96" s="79">
        <f t="shared" si="18"/>
        <v>18</v>
      </c>
      <c r="AB96" s="79">
        <f t="shared" si="19"/>
        <v>26</v>
      </c>
      <c r="AC96" s="77" t="s">
        <v>44</v>
      </c>
      <c r="AD96" s="79" t="s">
        <v>45</v>
      </c>
      <c r="AE96" s="79" t="s">
        <v>46</v>
      </c>
      <c r="AF96" s="79" t="s">
        <v>47</v>
      </c>
      <c r="AG96" s="77" t="s">
        <v>48</v>
      </c>
    </row>
    <row r="97" spans="1:33" ht="69" customHeight="1" x14ac:dyDescent="0.2">
      <c r="A97" s="88">
        <v>221.33</v>
      </c>
      <c r="B97" s="89">
        <f>IF(ISNUMBER(A97),
IF(AND(A97=INT(A97), MOD(A97, 10) = 0), 0,
IF(AND(A97=INT(A97), LEN(A97)=2), 1,
IF(AND(A97=INT(A97), LEN(A97)=3), 2,
LEN(A97) - FIND(".", A97) + 2)
)
),
"")</f>
        <v>4</v>
      </c>
      <c r="C97" s="56" t="s">
        <v>251</v>
      </c>
      <c r="D97" s="39" t="str">
        <f t="shared" si="4"/>
        <v xml:space="preserve">                        Moderator</v>
      </c>
      <c r="E97" s="39" t="s">
        <v>35</v>
      </c>
      <c r="F97" s="39" t="s">
        <v>251</v>
      </c>
      <c r="G97" s="39" t="s">
        <v>229</v>
      </c>
      <c r="H97" s="87"/>
      <c r="I97" s="87"/>
      <c r="K97" s="61">
        <v>80</v>
      </c>
      <c r="L97" s="49" t="s">
        <v>186</v>
      </c>
      <c r="M97" s="59" t="s">
        <v>252</v>
      </c>
      <c r="O97" s="49" t="s">
        <v>188</v>
      </c>
      <c r="Q97" s="66">
        <v>2022</v>
      </c>
      <c r="R97" s="49" t="s">
        <v>219</v>
      </c>
      <c r="S97" s="59" t="s">
        <v>230</v>
      </c>
      <c r="T97" s="63" t="s">
        <v>231</v>
      </c>
      <c r="W97" s="77" t="s">
        <v>157</v>
      </c>
      <c r="Z97" s="77" t="s">
        <v>44</v>
      </c>
      <c r="AA97" s="79">
        <f t="shared" si="18"/>
        <v>72</v>
      </c>
      <c r="AB97" s="79">
        <f t="shared" si="19"/>
        <v>104</v>
      </c>
      <c r="AC97" s="77" t="s">
        <v>44</v>
      </c>
      <c r="AD97" s="79" t="s">
        <v>45</v>
      </c>
      <c r="AE97" s="79" t="s">
        <v>46</v>
      </c>
      <c r="AF97" s="79" t="s">
        <v>47</v>
      </c>
      <c r="AG97" s="77" t="s">
        <v>48</v>
      </c>
    </row>
    <row r="98" spans="1:33" ht="69" customHeight="1" x14ac:dyDescent="0.2">
      <c r="A98" s="88">
        <v>221.33</v>
      </c>
      <c r="B98" s="89">
        <f>IF(ISNUMBER(A98),
    IF(AND(A98=INT(A98), MOD(A98, 10) = 0), 0,
        IF(AND(A98=INT(A98), LEN(A98)=2), 1,
            IF(AND(A98=INT(A98), LEN(A98)=3), 2,
                LEN(A98) - FIND(".", A98) + 2)
        )
    ),
"")</f>
        <v>4</v>
      </c>
      <c r="C98" s="56" t="s">
        <v>251</v>
      </c>
      <c r="D98" s="39" t="str">
        <f t="shared" ref="D98:D129" si="20">REPT("   ", B98*2) &amp; C98</f>
        <v xml:space="preserve">                        Moderator</v>
      </c>
      <c r="E98" s="39" t="s">
        <v>35</v>
      </c>
      <c r="F98" s="39" t="s">
        <v>251</v>
      </c>
      <c r="G98" s="39" t="s">
        <v>253</v>
      </c>
      <c r="H98" s="87"/>
      <c r="I98" s="87"/>
      <c r="K98" s="61">
        <f>2*K97</f>
        <v>160</v>
      </c>
      <c r="L98" s="49" t="s">
        <v>186</v>
      </c>
      <c r="M98" s="59" t="s">
        <v>252</v>
      </c>
      <c r="O98" s="49" t="s">
        <v>188</v>
      </c>
      <c r="Q98" s="66">
        <v>2022</v>
      </c>
      <c r="R98" s="49" t="s">
        <v>219</v>
      </c>
      <c r="S98" s="59" t="s">
        <v>254</v>
      </c>
      <c r="T98" s="63"/>
      <c r="W98" s="77" t="s">
        <v>157</v>
      </c>
      <c r="Z98" s="77" t="s">
        <v>44</v>
      </c>
      <c r="AA98" s="79">
        <f t="shared" si="18"/>
        <v>144</v>
      </c>
      <c r="AB98" s="79">
        <f t="shared" si="19"/>
        <v>208</v>
      </c>
      <c r="AC98" s="77" t="s">
        <v>44</v>
      </c>
      <c r="AD98" s="79" t="s">
        <v>45</v>
      </c>
      <c r="AE98" s="79" t="s">
        <v>46</v>
      </c>
      <c r="AF98" s="79" t="s">
        <v>47</v>
      </c>
      <c r="AG98" s="77" t="s">
        <v>48</v>
      </c>
    </row>
    <row r="99" spans="1:33" ht="69" customHeight="1" x14ac:dyDescent="0.2">
      <c r="A99" s="88">
        <v>221.33</v>
      </c>
      <c r="B99" s="89">
        <f>IF(ISNUMBER(A99),
IF(AND(A99=INT(A99), MOD(A99, 10) = 0), 0,
IF(AND(A99=INT(A99), LEN(A99)=2), 1,
IF(AND(A99=INT(A99), LEN(A99)=3), 2,
LEN(A99) - FIND(".", A99) + 2)
)
),
"")</f>
        <v>4</v>
      </c>
      <c r="C99" s="56" t="s">
        <v>251</v>
      </c>
      <c r="D99" s="39" t="str">
        <f t="shared" si="20"/>
        <v xml:space="preserve">                        Moderator</v>
      </c>
      <c r="E99" s="39" t="s">
        <v>35</v>
      </c>
      <c r="F99" s="39" t="s">
        <v>251</v>
      </c>
      <c r="G99" s="39" t="s">
        <v>255</v>
      </c>
      <c r="H99" s="87"/>
      <c r="I99" s="87"/>
      <c r="K99" s="61">
        <v>1520</v>
      </c>
      <c r="L99" s="49" t="s">
        <v>186</v>
      </c>
      <c r="M99" s="59" t="s">
        <v>252</v>
      </c>
      <c r="O99" s="49" t="s">
        <v>188</v>
      </c>
      <c r="Q99" s="66">
        <v>2017</v>
      </c>
      <c r="R99" s="49" t="s">
        <v>219</v>
      </c>
      <c r="S99" s="59" t="s">
        <v>256</v>
      </c>
      <c r="T99" s="63" t="s">
        <v>257</v>
      </c>
      <c r="W99" s="77" t="s">
        <v>157</v>
      </c>
      <c r="Z99" s="77" t="s">
        <v>44</v>
      </c>
      <c r="AA99" s="79">
        <f t="shared" si="18"/>
        <v>1368</v>
      </c>
      <c r="AB99" s="79">
        <f t="shared" si="19"/>
        <v>1976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20"/>
        <v xml:space="preserve">                        Moderator</v>
      </c>
      <c r="E100" s="39" t="s">
        <v>35</v>
      </c>
      <c r="F100" s="39" t="s">
        <v>251</v>
      </c>
      <c r="G100" s="39" t="s">
        <v>258</v>
      </c>
      <c r="H100" s="87"/>
      <c r="I100" s="87"/>
      <c r="K100" s="61">
        <v>1520</v>
      </c>
      <c r="L100" s="49" t="s">
        <v>186</v>
      </c>
      <c r="M100" s="59" t="s">
        <v>252</v>
      </c>
      <c r="O100" s="49" t="s">
        <v>188</v>
      </c>
      <c r="Q100" s="66">
        <v>2017</v>
      </c>
      <c r="R100" s="49" t="s">
        <v>219</v>
      </c>
      <c r="S100" s="59"/>
      <c r="T100" s="63" t="s">
        <v>259</v>
      </c>
      <c r="W100" s="77" t="s">
        <v>157</v>
      </c>
      <c r="Z100" s="77" t="s">
        <v>44</v>
      </c>
      <c r="AA100" s="79">
        <f t="shared" si="18"/>
        <v>1368</v>
      </c>
      <c r="AB100" s="79">
        <f t="shared" si="19"/>
        <v>1976</v>
      </c>
      <c r="AC100" s="77" t="s">
        <v>44</v>
      </c>
      <c r="AD100" s="79" t="s">
        <v>45</v>
      </c>
      <c r="AE100" s="79" t="s">
        <v>46</v>
      </c>
      <c r="AF100" s="79" t="s">
        <v>47</v>
      </c>
      <c r="AG100" s="77" t="s">
        <v>48</v>
      </c>
    </row>
    <row r="101" spans="1:33" ht="69" customHeight="1" x14ac:dyDescent="0.2">
      <c r="A101" s="88">
        <v>221.34</v>
      </c>
      <c r="B101" s="89">
        <f>IF(ISNUMBER(A101),
IF(AND(A101=INT(A101), MOD(A101, 10) = 0), 0,
IF(AND(A101=INT(A101), LEN(A101)=2), 1,
IF(AND(A101=INT(A101), LEN(A101)=3), 2,
LEN(A101) - FIND(".", A101) + 2)
)
),
"")</f>
        <v>4</v>
      </c>
      <c r="C101" s="56" t="s">
        <v>260</v>
      </c>
      <c r="D101" s="39" t="str">
        <f t="shared" si="20"/>
        <v xml:space="preserve">                        Moderator (Booster)</v>
      </c>
      <c r="E101" s="39" t="s">
        <v>35</v>
      </c>
      <c r="F101" s="39" t="s">
        <v>261</v>
      </c>
      <c r="G101" s="39" t="s">
        <v>229</v>
      </c>
      <c r="H101" s="87"/>
      <c r="I101" s="87"/>
      <c r="K101" s="61">
        <v>80</v>
      </c>
      <c r="L101" s="49" t="s">
        <v>186</v>
      </c>
      <c r="M101" s="59" t="s">
        <v>262</v>
      </c>
      <c r="O101" s="49" t="s">
        <v>188</v>
      </c>
      <c r="Q101" s="66">
        <v>2022</v>
      </c>
      <c r="R101" s="49" t="s">
        <v>219</v>
      </c>
      <c r="S101" s="59" t="s">
        <v>230</v>
      </c>
      <c r="T101" s="63" t="s">
        <v>231</v>
      </c>
      <c r="W101" s="77" t="s">
        <v>157</v>
      </c>
      <c r="Z101" s="77" t="s">
        <v>44</v>
      </c>
      <c r="AA101" s="79">
        <f t="shared" si="18"/>
        <v>72</v>
      </c>
      <c r="AB101" s="79">
        <f t="shared" si="19"/>
        <v>104</v>
      </c>
      <c r="AC101" s="77" t="s">
        <v>44</v>
      </c>
      <c r="AD101" s="79" t="s">
        <v>45</v>
      </c>
      <c r="AE101" s="79" t="s">
        <v>46</v>
      </c>
      <c r="AF101" s="79" t="s">
        <v>47</v>
      </c>
      <c r="AG101" s="77" t="s">
        <v>48</v>
      </c>
    </row>
    <row r="102" spans="1:33" ht="69" customHeight="1" x14ac:dyDescent="0.2">
      <c r="A102" s="88">
        <v>221.34</v>
      </c>
      <c r="B102" s="89">
        <f>IF(ISNUMBER(A102),
IF(AND(A102=INT(A102), MOD(A102, 10) = 0), 0,
IF(AND(A102=INT(A102), LEN(A102)=2), 1,
IF(AND(A102=INT(A102), LEN(A102)=3), 2,
LEN(A102) - FIND(".", A102) + 2)
)
),
"")</f>
        <v>4</v>
      </c>
      <c r="C102" s="56" t="s">
        <v>260</v>
      </c>
      <c r="D102" s="39" t="str">
        <f t="shared" si="20"/>
        <v xml:space="preserve">                        Moderator (Booster)</v>
      </c>
      <c r="E102" s="39" t="s">
        <v>35</v>
      </c>
      <c r="F102" s="39" t="s">
        <v>251</v>
      </c>
      <c r="G102" s="39" t="s">
        <v>258</v>
      </c>
      <c r="H102" s="87"/>
      <c r="I102" s="87"/>
      <c r="K102" s="61">
        <v>1520</v>
      </c>
      <c r="L102" s="49" t="s">
        <v>186</v>
      </c>
      <c r="M102" s="59" t="s">
        <v>252</v>
      </c>
      <c r="O102" s="49" t="s">
        <v>188</v>
      </c>
      <c r="Q102" s="66">
        <v>2017</v>
      </c>
      <c r="R102" s="49" t="s">
        <v>219</v>
      </c>
      <c r="S102" s="59"/>
      <c r="T102" s="63" t="s">
        <v>259</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221.34</v>
      </c>
      <c r="B103" s="89">
        <f>IF(ISNUMBER(A103),
IF(AND(A103=INT(A103), MOD(A103, 10) = 0), 0,
IF(AND(A103=INT(A103), LEN(A103)=2), 1,
IF(AND(A103=INT(A103), LEN(A103)=3), 2,
LEN(A103) - FIND(".", A103) + 2)
)
),
"")</f>
        <v>4</v>
      </c>
      <c r="C103" s="56" t="s">
        <v>260</v>
      </c>
      <c r="D103" s="39" t="str">
        <f t="shared" si="20"/>
        <v xml:space="preserve">                        Moderator (Booster)</v>
      </c>
      <c r="E103" s="39" t="s">
        <v>35</v>
      </c>
      <c r="F103" s="39" t="s">
        <v>261</v>
      </c>
      <c r="G103" s="39" t="s">
        <v>255</v>
      </c>
      <c r="H103" s="87"/>
      <c r="I103" s="87"/>
      <c r="K103" s="61">
        <v>1520</v>
      </c>
      <c r="L103" s="49" t="s">
        <v>186</v>
      </c>
      <c r="M103" s="59" t="s">
        <v>262</v>
      </c>
      <c r="O103" s="49" t="s">
        <v>188</v>
      </c>
      <c r="Q103" s="66">
        <v>2017</v>
      </c>
      <c r="R103" s="49" t="s">
        <v>219</v>
      </c>
      <c r="S103" s="59" t="s">
        <v>256</v>
      </c>
      <c r="T103" s="63" t="s">
        <v>257</v>
      </c>
      <c r="W103" s="77" t="s">
        <v>157</v>
      </c>
      <c r="Z103" s="77" t="s">
        <v>44</v>
      </c>
      <c r="AA103" s="79">
        <f t="shared" si="18"/>
        <v>1368</v>
      </c>
      <c r="AB103" s="79">
        <f t="shared" si="19"/>
        <v>1976</v>
      </c>
      <c r="AC103" s="77" t="s">
        <v>44</v>
      </c>
      <c r="AD103" s="79" t="s">
        <v>45</v>
      </c>
      <c r="AE103" s="79" t="s">
        <v>46</v>
      </c>
      <c r="AF103" s="79" t="s">
        <v>47</v>
      </c>
      <c r="AG103" s="77" t="s">
        <v>48</v>
      </c>
    </row>
    <row r="104" spans="1:33" ht="30" customHeight="1" x14ac:dyDescent="0.2">
      <c r="A104" s="53">
        <v>222</v>
      </c>
      <c r="B104" s="38">
        <f>IF(ISNUMBER(A104),
IF(AND(A104=INT(A104), MOD(A104, 10) = 0), 0,
IF(AND(A104=INT(A104), LEN(A104)=2), 1,
IF(AND(A104=INT(A104), LEN(A104)=3), 2,
LEN(A104) - FIND(".", A104) + 2)
)
),
"")</f>
        <v>2</v>
      </c>
      <c r="C104" s="56" t="s">
        <v>263</v>
      </c>
      <c r="D104" s="39" t="str">
        <f t="shared" si="20"/>
        <v xml:space="preserve">            Main Heat Transport System</v>
      </c>
      <c r="E104" s="39"/>
      <c r="F104" s="39"/>
      <c r="G104" s="39"/>
      <c r="H104" s="39"/>
      <c r="I104" s="39"/>
      <c r="J104" s="43"/>
      <c r="K104" s="61"/>
      <c r="L104" s="49"/>
      <c r="M104" s="59"/>
      <c r="N104" s="49"/>
      <c r="O104" s="49"/>
      <c r="P104" s="49"/>
      <c r="Q104" s="66"/>
      <c r="R104" s="49"/>
      <c r="S104" s="59"/>
      <c r="T104" s="63"/>
      <c r="U104" s="49"/>
      <c r="V104" s="49"/>
      <c r="W104" s="77"/>
      <c r="X104" s="80"/>
      <c r="Y104" s="80"/>
      <c r="Z104" s="77"/>
      <c r="AA104" s="79"/>
      <c r="AB104" s="79"/>
      <c r="AC104" s="77"/>
      <c r="AD104" s="79"/>
      <c r="AE104" s="79"/>
      <c r="AF104" s="79"/>
      <c r="AG104" s="77"/>
    </row>
    <row r="105" spans="1:33" ht="15" customHeight="1" x14ac:dyDescent="0.2">
      <c r="A105" s="53">
        <v>222.1</v>
      </c>
      <c r="B105" s="38">
        <f>IF(ISNUMBER(A105),
    IF(AND(A105=INT(A105), MOD(A105, 10) = 0), 0,
        IF(AND(A105=INT(A105), LEN(A105)=2), 1,
            IF(AND(A105=INT(A105), LEN(A105)=3), 2,
                LEN(A105) - FIND(".", A105) + 2)
        )
    ),
"")</f>
        <v>3</v>
      </c>
      <c r="C105" s="56" t="s">
        <v>264</v>
      </c>
      <c r="D105" s="39" t="str">
        <f t="shared" si="20"/>
        <v xml:space="preserve">                  Fluid Circulation Drive System</v>
      </c>
      <c r="E105" s="39"/>
      <c r="F105" s="39"/>
      <c r="G105" s="39"/>
      <c r="H105" s="39"/>
      <c r="I105" s="39"/>
      <c r="J105" s="43"/>
      <c r="K105" s="66"/>
      <c r="L105" s="49"/>
      <c r="M105" s="59"/>
      <c r="N105" s="49"/>
      <c r="O105" s="49"/>
      <c r="P105" s="49"/>
      <c r="Q105" s="66"/>
      <c r="R105" s="49"/>
      <c r="S105" s="59"/>
      <c r="T105" s="49"/>
      <c r="U105" s="49"/>
      <c r="V105" s="49"/>
      <c r="W105" s="77"/>
      <c r="X105" s="80"/>
      <c r="Y105" s="80"/>
      <c r="Z105" s="77"/>
      <c r="AA105" s="79"/>
      <c r="AB105" s="79"/>
      <c r="AC105" s="77"/>
      <c r="AD105" s="79"/>
      <c r="AE105" s="79"/>
      <c r="AF105" s="79"/>
      <c r="AG105" s="77"/>
    </row>
    <row r="106" spans="1:33" ht="61.25" customHeight="1" x14ac:dyDescent="0.2">
      <c r="A106" s="42">
        <v>222.11</v>
      </c>
      <c r="B106" s="38">
        <f>IF(ISNUMBER(A106),
IF(AND(A106=INT(A106), MOD(A106, 10) = 0), 0,
IF(AND(A106=INT(A106), LEN(A106)=2), 1,
IF(AND(A106=INT(A106), LEN(A106)=3), 2,
LEN(A106) - FIND(".", A106) + 2)
)
),
"")</f>
        <v>4</v>
      </c>
      <c r="C106" s="56" t="s">
        <v>265</v>
      </c>
      <c r="D106" s="39" t="str">
        <f t="shared" si="20"/>
        <v xml:space="preserve">                        Primary Pump</v>
      </c>
      <c r="E106" s="39" t="s">
        <v>266</v>
      </c>
      <c r="F106" s="39" t="s">
        <v>265</v>
      </c>
      <c r="G106" s="39" t="s">
        <v>267</v>
      </c>
      <c r="H106" s="39"/>
      <c r="I106" s="39"/>
      <c r="J106" s="43"/>
      <c r="K106" s="61">
        <f>12.5*705.48</f>
        <v>8818.5</v>
      </c>
      <c r="L106" s="49" t="s">
        <v>268</v>
      </c>
      <c r="M106" s="59" t="s">
        <v>269</v>
      </c>
      <c r="N106" s="49"/>
      <c r="O106" s="49"/>
      <c r="P106" s="49">
        <v>0.71</v>
      </c>
      <c r="Q106" s="66">
        <v>2003</v>
      </c>
      <c r="R106" s="49" t="s">
        <v>86</v>
      </c>
      <c r="S106" s="59" t="s">
        <v>270</v>
      </c>
      <c r="T106" s="150" t="s">
        <v>271</v>
      </c>
      <c r="U106" s="155" t="s">
        <v>272</v>
      </c>
      <c r="V106" s="150"/>
      <c r="W106" s="77" t="s">
        <v>157</v>
      </c>
      <c r="X106" s="80">
        <f t="shared" ref="X106:X111" si="21">0.9*$J106</f>
        <v>0</v>
      </c>
      <c r="Y106" s="80">
        <f t="shared" ref="Y106:Y111" si="22">1.5*J106</f>
        <v>0</v>
      </c>
      <c r="Z106" s="77" t="s">
        <v>44</v>
      </c>
      <c r="AA106" s="79">
        <f t="shared" ref="AA106:AA111" si="23">0.9*K106</f>
        <v>7936.6500000000005</v>
      </c>
      <c r="AB106" s="79">
        <f t="shared" ref="AB106:AB111" si="24">1.3*K106</f>
        <v>11464.050000000001</v>
      </c>
      <c r="AC106" s="77" t="s">
        <v>44</v>
      </c>
      <c r="AD106" s="79" t="s">
        <v>45</v>
      </c>
      <c r="AE106" s="79" t="s">
        <v>46</v>
      </c>
      <c r="AF106" s="79" t="s">
        <v>47</v>
      </c>
      <c r="AG106" s="77" t="s">
        <v>48</v>
      </c>
    </row>
    <row r="107" spans="1:33" ht="29" customHeight="1" x14ac:dyDescent="0.2">
      <c r="A107" s="42">
        <v>222.12</v>
      </c>
      <c r="B107" s="38">
        <f>IF(ISNUMBER(A107),
IF(AND(A107=INT(A107), MOD(A107, 10) = 0), 0,
IF(AND(A107=INT(A107), LEN(A107)=2), 1,
IF(AND(A107=INT(A107), LEN(A107)=3), 2,
LEN(A107) - FIND(".", A107) + 2)
)
),
"")</f>
        <v>4</v>
      </c>
      <c r="C107" s="56" t="s">
        <v>273</v>
      </c>
      <c r="D107" s="39" t="str">
        <f t="shared" si="20"/>
        <v xml:space="preserve">                        Secondary Pump</v>
      </c>
      <c r="E107" s="39" t="s">
        <v>266</v>
      </c>
      <c r="F107" s="39" t="s">
        <v>273</v>
      </c>
      <c r="G107" s="39" t="s">
        <v>267</v>
      </c>
      <c r="H107" s="39"/>
      <c r="I107" s="39"/>
      <c r="J107" s="43"/>
      <c r="K107" s="61">
        <v>705.48</v>
      </c>
      <c r="L107" s="49" t="s">
        <v>268</v>
      </c>
      <c r="M107" s="59" t="s">
        <v>274</v>
      </c>
      <c r="N107" s="49"/>
      <c r="O107" s="49"/>
      <c r="P107" s="49">
        <v>0.71</v>
      </c>
      <c r="Q107" s="66">
        <v>2003</v>
      </c>
      <c r="R107" s="49" t="s">
        <v>86</v>
      </c>
      <c r="S107" s="59" t="s">
        <v>275</v>
      </c>
      <c r="T107" s="149"/>
      <c r="U107" s="149"/>
      <c r="V107" s="149"/>
      <c r="W107" s="77" t="s">
        <v>157</v>
      </c>
      <c r="X107" s="80">
        <f t="shared" si="21"/>
        <v>0</v>
      </c>
      <c r="Y107" s="80">
        <f t="shared" si="22"/>
        <v>0</v>
      </c>
      <c r="Z107" s="77" t="s">
        <v>44</v>
      </c>
      <c r="AA107" s="79">
        <f t="shared" si="23"/>
        <v>634.93200000000002</v>
      </c>
      <c r="AB107" s="79">
        <f t="shared" si="24"/>
        <v>917.12400000000002</v>
      </c>
      <c r="AC107" s="77" t="s">
        <v>44</v>
      </c>
      <c r="AD107" s="79" t="s">
        <v>45</v>
      </c>
      <c r="AE107" s="79" t="s">
        <v>46</v>
      </c>
      <c r="AF107" s="79" t="s">
        <v>47</v>
      </c>
      <c r="AG107" s="77" t="s">
        <v>48</v>
      </c>
    </row>
    <row r="108" spans="1:33" ht="99" customHeight="1" x14ac:dyDescent="0.2">
      <c r="A108" s="42">
        <v>222.13</v>
      </c>
      <c r="B108" s="38">
        <f>IF(ISNUMBER(A108),
IF(AND(A108=INT(A108), MOD(A108, 10) = 0), 0,
IF(AND(A108=INT(A108), LEN(A108)=2), 1,
IF(AND(A108=INT(A108), LEN(A108)=3), 2,
LEN(A108) - FIND(".", A108) + 2)
)
),
"")</f>
        <v>4</v>
      </c>
      <c r="C108" s="56" t="s">
        <v>276</v>
      </c>
      <c r="D108" s="39" t="str">
        <f t="shared" si="20"/>
        <v xml:space="preserve">                        Compressor</v>
      </c>
      <c r="E108" s="39" t="s">
        <v>266</v>
      </c>
      <c r="F108" s="39" t="s">
        <v>118</v>
      </c>
      <c r="G108" s="39" t="s">
        <v>119</v>
      </c>
      <c r="H108" s="39"/>
      <c r="I108" s="39"/>
      <c r="J108" s="43"/>
      <c r="K108" s="61">
        <v>7100000</v>
      </c>
      <c r="L108" s="49" t="s">
        <v>277</v>
      </c>
      <c r="M108" s="59"/>
      <c r="N108" s="49"/>
      <c r="O108" s="49"/>
      <c r="P108" s="49"/>
      <c r="Q108" s="66">
        <v>2020</v>
      </c>
      <c r="R108" s="49" t="s">
        <v>86</v>
      </c>
      <c r="S108" s="59" t="s">
        <v>278</v>
      </c>
      <c r="T108" s="63" t="s">
        <v>279</v>
      </c>
      <c r="U108" s="67"/>
      <c r="V108" s="63" t="s">
        <v>280</v>
      </c>
      <c r="W108" s="77" t="s">
        <v>157</v>
      </c>
      <c r="X108" s="80">
        <f t="shared" si="21"/>
        <v>0</v>
      </c>
      <c r="Y108" s="80">
        <f t="shared" si="22"/>
        <v>0</v>
      </c>
      <c r="Z108" s="77" t="s">
        <v>44</v>
      </c>
      <c r="AA108" s="79">
        <f t="shared" si="23"/>
        <v>6390000</v>
      </c>
      <c r="AB108" s="79">
        <f t="shared" si="24"/>
        <v>9230000</v>
      </c>
      <c r="AC108" s="77" t="s">
        <v>44</v>
      </c>
      <c r="AD108" s="79" t="s">
        <v>45</v>
      </c>
      <c r="AE108" s="79" t="s">
        <v>46</v>
      </c>
      <c r="AF108" s="79" t="s">
        <v>47</v>
      </c>
      <c r="AG108" s="77" t="s">
        <v>48</v>
      </c>
    </row>
    <row r="109" spans="1:33" ht="30" customHeight="1" x14ac:dyDescent="0.2">
      <c r="A109" s="53">
        <v>222.2</v>
      </c>
      <c r="B109" s="38">
        <f>IF(ISNUMBER(A109),
IF(AND(A109=INT(A109), MOD(A109, 10) = 0), 0,
IF(AND(A109=INT(A109), LEN(A109)=2), 1,
IF(AND(A109=INT(A109), LEN(A109)=3), 2,
LEN(A109) - FIND(".", A109) + 2)
)
),
"")</f>
        <v>3</v>
      </c>
      <c r="C109" s="56" t="s">
        <v>281</v>
      </c>
      <c r="D109" s="39" t="str">
        <f t="shared" si="20"/>
        <v xml:space="preserve">                  Reactor Heat Transfer Piping System</v>
      </c>
      <c r="E109" s="39" t="s">
        <v>35</v>
      </c>
      <c r="F109" s="39" t="s">
        <v>118</v>
      </c>
      <c r="G109" s="39" t="s">
        <v>119</v>
      </c>
      <c r="H109" s="39"/>
      <c r="I109" s="39"/>
      <c r="J109" s="43"/>
      <c r="K109" s="61">
        <v>20000</v>
      </c>
      <c r="L109" s="49" t="s">
        <v>50</v>
      </c>
      <c r="M109" s="45" t="s">
        <v>51</v>
      </c>
      <c r="N109" s="49"/>
      <c r="O109" s="49"/>
      <c r="P109" s="49"/>
      <c r="Q109" s="66">
        <v>2017</v>
      </c>
      <c r="R109" s="49" t="s">
        <v>153</v>
      </c>
      <c r="S109" s="59" t="s">
        <v>282</v>
      </c>
      <c r="T109" s="59" t="s">
        <v>197</v>
      </c>
      <c r="U109" s="49"/>
      <c r="V109" s="49"/>
      <c r="W109" s="77" t="s">
        <v>157</v>
      </c>
      <c r="X109" s="80">
        <f t="shared" si="21"/>
        <v>0</v>
      </c>
      <c r="Y109" s="80">
        <f t="shared" si="22"/>
        <v>0</v>
      </c>
      <c r="Z109" s="77" t="s">
        <v>44</v>
      </c>
      <c r="AA109" s="79">
        <f t="shared" si="23"/>
        <v>18000</v>
      </c>
      <c r="AB109" s="79">
        <f t="shared" si="24"/>
        <v>26000</v>
      </c>
      <c r="AC109" s="77" t="s">
        <v>44</v>
      </c>
      <c r="AD109" s="79" t="s">
        <v>45</v>
      </c>
      <c r="AE109" s="79" t="s">
        <v>46</v>
      </c>
      <c r="AF109" s="79" t="s">
        <v>47</v>
      </c>
      <c r="AG109" s="77" t="s">
        <v>48</v>
      </c>
    </row>
    <row r="110" spans="1:33" ht="30" customHeight="1" x14ac:dyDescent="0.2">
      <c r="A110" s="53">
        <v>222.2</v>
      </c>
      <c r="B110" s="38">
        <f>IF(ISNUMBER(A110),
    IF(AND(A110=INT(A110), MOD(A110, 10) = 0), 0,
        IF(AND(A110=INT(A110), LEN(A110)=2), 1,
            IF(AND(A110=INT(A110), LEN(A110)=3), 2,
                LEN(A110) - FIND(".", A110) + 2)
        )
    ),
"")</f>
        <v>3</v>
      </c>
      <c r="C110" s="56" t="s">
        <v>281</v>
      </c>
      <c r="D110" s="39" t="str">
        <f t="shared" si="20"/>
        <v xml:space="preserve">                  Reactor Heat Transfer Piping System</v>
      </c>
      <c r="E110" s="39" t="s">
        <v>35</v>
      </c>
      <c r="F110" s="39" t="s">
        <v>118</v>
      </c>
      <c r="G110" s="39" t="s">
        <v>283</v>
      </c>
      <c r="H110" s="39"/>
      <c r="I110" s="39"/>
      <c r="J110" s="43"/>
      <c r="K110" s="61">
        <v>20000</v>
      </c>
      <c r="L110" s="49" t="s">
        <v>50</v>
      </c>
      <c r="M110" s="45" t="s">
        <v>51</v>
      </c>
      <c r="N110" s="49"/>
      <c r="O110" s="49"/>
      <c r="P110" s="49"/>
      <c r="Q110" s="66">
        <v>2017</v>
      </c>
      <c r="R110" s="49" t="s">
        <v>153</v>
      </c>
      <c r="S110" s="59" t="s">
        <v>282</v>
      </c>
      <c r="T110" s="59" t="s">
        <v>197</v>
      </c>
      <c r="U110" s="49"/>
      <c r="V110" s="49"/>
      <c r="W110" s="77" t="s">
        <v>157</v>
      </c>
      <c r="X110" s="80">
        <f t="shared" si="21"/>
        <v>0</v>
      </c>
      <c r="Y110" s="80">
        <f t="shared" si="22"/>
        <v>0</v>
      </c>
      <c r="Z110" s="77" t="s">
        <v>44</v>
      </c>
      <c r="AA110" s="79">
        <f t="shared" si="23"/>
        <v>18000</v>
      </c>
      <c r="AB110" s="79">
        <f t="shared" si="24"/>
        <v>26000</v>
      </c>
      <c r="AC110" s="77" t="s">
        <v>44</v>
      </c>
      <c r="AD110" s="79" t="s">
        <v>45</v>
      </c>
      <c r="AE110" s="79" t="s">
        <v>46</v>
      </c>
      <c r="AF110" s="79" t="s">
        <v>47</v>
      </c>
      <c r="AG110" s="77" t="s">
        <v>48</v>
      </c>
    </row>
    <row r="111" spans="1:33" ht="30" customHeight="1" x14ac:dyDescent="0.2">
      <c r="A111" s="53">
        <v>222.2</v>
      </c>
      <c r="B111" s="38">
        <f>IF(ISNUMBER(A111),
IF(AND(A111=INT(A111), MOD(A111, 10) = 0), 0,
IF(AND(A111=INT(A111), LEN(A111)=2), 1,
IF(AND(A111=INT(A111), LEN(A111)=3), 2,
LEN(A111) - FIND(".", A111) + 2)
)
),
"")</f>
        <v>3</v>
      </c>
      <c r="C111" s="56" t="s">
        <v>281</v>
      </c>
      <c r="D111" s="39" t="str">
        <f t="shared" si="20"/>
        <v xml:space="preserve">                  Reactor Heat Transfer Piping System</v>
      </c>
      <c r="E111" s="39" t="s">
        <v>35</v>
      </c>
      <c r="F111" s="39" t="s">
        <v>118</v>
      </c>
      <c r="G111" s="39" t="s">
        <v>284</v>
      </c>
      <c r="H111" s="39"/>
      <c r="I111" s="39"/>
      <c r="J111" s="43"/>
      <c r="K111" s="61">
        <v>10000</v>
      </c>
      <c r="L111" s="49" t="s">
        <v>285</v>
      </c>
      <c r="M111" s="45" t="s">
        <v>286</v>
      </c>
      <c r="N111" s="49">
        <v>1</v>
      </c>
      <c r="O111" s="49"/>
      <c r="P111" s="49">
        <v>0.7</v>
      </c>
      <c r="Q111" s="66">
        <v>2017</v>
      </c>
      <c r="R111" s="49" t="s">
        <v>153</v>
      </c>
      <c r="S111" s="59" t="s">
        <v>287</v>
      </c>
      <c r="T111" s="59"/>
      <c r="U111" s="49"/>
      <c r="V111" s="49"/>
      <c r="W111" s="77" t="s">
        <v>157</v>
      </c>
      <c r="X111" s="80">
        <f t="shared" si="21"/>
        <v>0</v>
      </c>
      <c r="Y111" s="80">
        <f t="shared" si="22"/>
        <v>0</v>
      </c>
      <c r="Z111" s="77" t="s">
        <v>44</v>
      </c>
      <c r="AA111" s="79">
        <f t="shared" si="23"/>
        <v>9000</v>
      </c>
      <c r="AB111" s="79">
        <f t="shared" si="24"/>
        <v>13000</v>
      </c>
      <c r="AC111" s="77" t="s">
        <v>44</v>
      </c>
      <c r="AD111" s="79" t="s">
        <v>45</v>
      </c>
      <c r="AE111" s="79" t="s">
        <v>46</v>
      </c>
      <c r="AF111" s="79" t="s">
        <v>47</v>
      </c>
      <c r="AG111" s="77" t="s">
        <v>48</v>
      </c>
    </row>
    <row r="112" spans="1:33" ht="15" customHeight="1" x14ac:dyDescent="0.2">
      <c r="A112" s="53">
        <v>222.3</v>
      </c>
      <c r="B112" s="38">
        <f>IF(ISNUMBER(A112),
IF(AND(A112=INT(A112), MOD(A112, 10) = 0), 0,
IF(AND(A112=INT(A112), LEN(A112)=2), 1,
IF(AND(A112=INT(A112), LEN(A112)=3), 2,
LEN(A112) - FIND(".", A112) + 2)
)
),
"")</f>
        <v>3</v>
      </c>
      <c r="C112" s="56" t="s">
        <v>288</v>
      </c>
      <c r="D112" s="39" t="str">
        <f t="shared" si="20"/>
        <v xml:space="preserve">                  Heat Exchangers</v>
      </c>
      <c r="E112" s="39"/>
      <c r="F112" s="39"/>
      <c r="G112" s="39"/>
      <c r="H112" s="39"/>
      <c r="I112" s="39"/>
      <c r="J112" s="43"/>
      <c r="K112" s="61"/>
      <c r="L112" s="49"/>
      <c r="M112" s="59"/>
      <c r="N112" s="49"/>
      <c r="O112" s="49"/>
      <c r="P112" s="49"/>
      <c r="Q112" s="66"/>
      <c r="R112" s="49"/>
      <c r="S112" s="59"/>
      <c r="T112" s="49"/>
      <c r="U112" s="49"/>
      <c r="V112" s="49"/>
      <c r="W112" s="77"/>
      <c r="X112" s="80"/>
      <c r="Y112" s="80"/>
      <c r="Z112" s="77"/>
      <c r="AA112" s="79"/>
      <c r="AB112" s="79"/>
      <c r="AC112" s="77"/>
      <c r="AD112" s="79"/>
      <c r="AE112" s="79"/>
      <c r="AF112" s="79"/>
      <c r="AG112" s="77"/>
    </row>
    <row r="113" spans="1:33" ht="30" customHeight="1" x14ac:dyDescent="0.2">
      <c r="A113" s="53">
        <v>222.31</v>
      </c>
      <c r="B113" s="38">
        <f>IF(ISNUMBER(A113),
    IF(AND(A113=INT(A113), MOD(A113, 10) = 0), 0,
        IF(AND(A113=INT(A113), LEN(A113)=2), 1,
            IF(AND(A113=INT(A113), LEN(A113)=3), 2,
                LEN(A113) - FIND(".", A113) + 2)
        )
    ),
"")</f>
        <v>4</v>
      </c>
      <c r="C113" s="56" t="s">
        <v>289</v>
      </c>
      <c r="D113" s="39" t="str">
        <f t="shared" si="20"/>
        <v xml:space="preserve">                        Primary Heat Exchanger</v>
      </c>
      <c r="E113" s="39" t="s">
        <v>35</v>
      </c>
      <c r="F113" s="39" t="s">
        <v>290</v>
      </c>
      <c r="G113" s="39" t="s">
        <v>291</v>
      </c>
      <c r="H113" s="39"/>
      <c r="I113" s="39"/>
      <c r="J113" s="43"/>
      <c r="K113" s="61">
        <v>50</v>
      </c>
      <c r="L113" s="49" t="s">
        <v>186</v>
      </c>
      <c r="M113" s="59" t="s">
        <v>292</v>
      </c>
      <c r="N113" s="49"/>
      <c r="O113" s="49" t="s">
        <v>188</v>
      </c>
      <c r="P113" s="49"/>
      <c r="Q113" s="66">
        <v>2004</v>
      </c>
      <c r="R113" s="49" t="s">
        <v>153</v>
      </c>
      <c r="S113" s="59" t="s">
        <v>293</v>
      </c>
      <c r="T113" s="63" t="s">
        <v>294</v>
      </c>
      <c r="U113" s="49"/>
      <c r="V113" s="49"/>
      <c r="W113" s="77" t="s">
        <v>157</v>
      </c>
      <c r="X113" s="80">
        <f>0.9*$J113</f>
        <v>0</v>
      </c>
      <c r="Y113" s="80">
        <f>1.5*J113</f>
        <v>0</v>
      </c>
      <c r="Z113" s="77" t="s">
        <v>44</v>
      </c>
      <c r="AA113" s="79">
        <f t="shared" ref="AA113:AA118" si="25">0.9*K113</f>
        <v>45</v>
      </c>
      <c r="AB113" s="79">
        <f t="shared" ref="AB113:AB118" si="26">1.3*K113</f>
        <v>65</v>
      </c>
      <c r="AC113" s="77" t="s">
        <v>44</v>
      </c>
      <c r="AD113" s="79" t="s">
        <v>45</v>
      </c>
      <c r="AE113" s="79" t="s">
        <v>46</v>
      </c>
      <c r="AF113" s="79" t="s">
        <v>47</v>
      </c>
      <c r="AG113" s="77" t="s">
        <v>48</v>
      </c>
    </row>
    <row r="114" spans="1:33" ht="30" customHeight="1" x14ac:dyDescent="0.2">
      <c r="A114" s="53">
        <v>222.31</v>
      </c>
      <c r="B114" s="38">
        <f>IF(ISNUMBER(A114),
    IF(AND(A114=INT(A114), MOD(A114, 10) = 0), 0,
        IF(AND(A114=INT(A114), LEN(A114)=2), 1,
            IF(AND(A114=INT(A114), LEN(A114)=3), 2,
                LEN(A114) - FIND(".", A114) + 2)
        )
    ),
"")</f>
        <v>4</v>
      </c>
      <c r="C114" s="56" t="s">
        <v>289</v>
      </c>
      <c r="D114" s="39" t="str">
        <f t="shared" si="20"/>
        <v xml:space="preserve">                        Primary Heat Exchanger</v>
      </c>
      <c r="E114" s="39" t="s">
        <v>35</v>
      </c>
      <c r="F114" s="39" t="s">
        <v>290</v>
      </c>
      <c r="G114" s="39" t="s">
        <v>295</v>
      </c>
      <c r="H114" s="39"/>
      <c r="I114" s="39"/>
      <c r="J114" s="43"/>
      <c r="K114" s="61">
        <v>120</v>
      </c>
      <c r="L114" s="49" t="s">
        <v>186</v>
      </c>
      <c r="M114" s="59" t="s">
        <v>292</v>
      </c>
      <c r="N114" s="49"/>
      <c r="O114" s="49" t="s">
        <v>188</v>
      </c>
      <c r="P114" s="49"/>
      <c r="Q114" s="66">
        <v>2013</v>
      </c>
      <c r="R114" s="49" t="s">
        <v>153</v>
      </c>
      <c r="S114" s="59" t="s">
        <v>293</v>
      </c>
      <c r="T114" s="63" t="s">
        <v>296</v>
      </c>
      <c r="U114" s="49"/>
      <c r="V114" s="49"/>
      <c r="W114" s="77" t="s">
        <v>157</v>
      </c>
      <c r="X114" s="80">
        <f>0.9*$J114</f>
        <v>0</v>
      </c>
      <c r="Y114" s="80">
        <f>1.5*J114</f>
        <v>0</v>
      </c>
      <c r="Z114" s="77" t="s">
        <v>44</v>
      </c>
      <c r="AA114" s="79">
        <f t="shared" si="25"/>
        <v>108</v>
      </c>
      <c r="AB114" s="79">
        <f t="shared" si="26"/>
        <v>156</v>
      </c>
      <c r="AC114" s="77" t="s">
        <v>44</v>
      </c>
      <c r="AD114" s="79" t="s">
        <v>45</v>
      </c>
      <c r="AE114" s="79" t="s">
        <v>46</v>
      </c>
      <c r="AF114" s="79" t="s">
        <v>47</v>
      </c>
      <c r="AG114" s="77" t="s">
        <v>48</v>
      </c>
    </row>
    <row r="115" spans="1:33" ht="30" customHeight="1" x14ac:dyDescent="0.2">
      <c r="A115" s="53">
        <v>222.32</v>
      </c>
      <c r="B115" s="38">
        <f>IF(ISNUMBER(A115),
    IF(AND(A115=INT(A115), MOD(A115, 10) = 0), 0,
        IF(AND(A115=INT(A115), LEN(A115)=2), 1,
            IF(AND(A115=INT(A115), LEN(A115)=3), 2,
                LEN(A115) - FIND(".", A115) + 2)
        )
    ),
"")</f>
        <v>4</v>
      </c>
      <c r="C115" s="56" t="s">
        <v>297</v>
      </c>
      <c r="D115" s="39" t="str">
        <f t="shared" si="20"/>
        <v xml:space="preserve">                        Secondary Heat Exchanger</v>
      </c>
      <c r="E115" s="39" t="s">
        <v>35</v>
      </c>
      <c r="F115" s="39" t="s">
        <v>290</v>
      </c>
      <c r="G115" s="39" t="s">
        <v>291</v>
      </c>
      <c r="H115" s="39"/>
      <c r="I115" s="39"/>
      <c r="J115" s="43"/>
      <c r="K115" s="61">
        <v>50</v>
      </c>
      <c r="L115" s="49" t="s">
        <v>186</v>
      </c>
      <c r="M115" s="59" t="s">
        <v>298</v>
      </c>
      <c r="N115" s="49"/>
      <c r="O115" s="49" t="s">
        <v>188</v>
      </c>
      <c r="P115" s="49"/>
      <c r="Q115" s="66">
        <v>2004</v>
      </c>
      <c r="R115" s="49" t="s">
        <v>153</v>
      </c>
      <c r="S115" s="59" t="s">
        <v>293</v>
      </c>
      <c r="T115" s="63" t="s">
        <v>294</v>
      </c>
      <c r="U115" s="49"/>
      <c r="V115" s="49"/>
      <c r="W115" s="77" t="s">
        <v>157</v>
      </c>
      <c r="X115" s="80">
        <f>0.9*$J115</f>
        <v>0</v>
      </c>
      <c r="Y115" s="80">
        <f>1.5*J115</f>
        <v>0</v>
      </c>
      <c r="Z115" s="77" t="s">
        <v>44</v>
      </c>
      <c r="AA115" s="79">
        <f t="shared" si="25"/>
        <v>45</v>
      </c>
      <c r="AB115" s="79">
        <f t="shared" si="26"/>
        <v>65</v>
      </c>
      <c r="AC115" s="77" t="s">
        <v>44</v>
      </c>
      <c r="AD115" s="79" t="s">
        <v>45</v>
      </c>
      <c r="AE115" s="79" t="s">
        <v>46</v>
      </c>
      <c r="AF115" s="79" t="s">
        <v>47</v>
      </c>
      <c r="AG115" s="77" t="s">
        <v>48</v>
      </c>
    </row>
    <row r="116" spans="1:33" ht="30" customHeight="1" x14ac:dyDescent="0.2">
      <c r="A116" s="53">
        <v>222.32</v>
      </c>
      <c r="B116" s="38">
        <f>IF(ISNUMBER(A116),
    IF(AND(A116=INT(A116), MOD(A116, 10) = 0), 0,
        IF(AND(A116=INT(A116), LEN(A116)=2), 1,
            IF(AND(A116=INT(A116), LEN(A116)=3), 2,
                LEN(A116) - FIND(".", A116) + 2)
        )
    ),
"")</f>
        <v>4</v>
      </c>
      <c r="C116" s="56" t="s">
        <v>297</v>
      </c>
      <c r="D116" s="39" t="str">
        <f t="shared" si="20"/>
        <v xml:space="preserve">                        Secondary Heat Exchanger</v>
      </c>
      <c r="E116" s="39" t="s">
        <v>35</v>
      </c>
      <c r="F116" s="39" t="s">
        <v>290</v>
      </c>
      <c r="G116" s="39" t="s">
        <v>295</v>
      </c>
      <c r="H116" s="39"/>
      <c r="I116" s="39"/>
      <c r="J116" s="43"/>
      <c r="K116" s="61">
        <v>120</v>
      </c>
      <c r="L116" s="49" t="s">
        <v>186</v>
      </c>
      <c r="M116" s="59" t="s">
        <v>298</v>
      </c>
      <c r="N116" s="49"/>
      <c r="O116" s="49" t="s">
        <v>188</v>
      </c>
      <c r="P116" s="49"/>
      <c r="Q116" s="66">
        <v>2013</v>
      </c>
      <c r="R116" s="49" t="s">
        <v>153</v>
      </c>
      <c r="S116" s="59" t="s">
        <v>293</v>
      </c>
      <c r="T116" s="63" t="s">
        <v>296</v>
      </c>
      <c r="U116" s="49"/>
      <c r="V116" s="49"/>
      <c r="W116" s="77" t="s">
        <v>157</v>
      </c>
      <c r="X116" s="80">
        <f>0.9*$J116</f>
        <v>0</v>
      </c>
      <c r="Y116" s="80">
        <f>1.5*J116</f>
        <v>0</v>
      </c>
      <c r="Z116" s="77" t="s">
        <v>44</v>
      </c>
      <c r="AA116" s="79">
        <f t="shared" si="25"/>
        <v>108</v>
      </c>
      <c r="AB116" s="79">
        <f t="shared" si="26"/>
        <v>156</v>
      </c>
      <c r="AC116" s="77" t="s">
        <v>44</v>
      </c>
      <c r="AD116" s="79" t="s">
        <v>45</v>
      </c>
      <c r="AE116" s="79" t="s">
        <v>46</v>
      </c>
      <c r="AF116" s="79" t="s">
        <v>47</v>
      </c>
      <c r="AG116" s="77" t="s">
        <v>48</v>
      </c>
    </row>
    <row r="117" spans="1:33" ht="30" customHeight="1" x14ac:dyDescent="0.2">
      <c r="A117" s="53">
        <v>222.5</v>
      </c>
      <c r="B117" s="38">
        <f>IF(ISNUMBER(A117),
IF(AND(A117=INT(A117), MOD(A117, 10) = 0), 0,
IF(AND(A117=INT(A117), LEN(A117)=2), 1,
IF(AND(A117=INT(A117), LEN(A117)=3), 2,
LEN(A117) - FIND(".", A117) + 2)
)
),
"")</f>
        <v>3</v>
      </c>
      <c r="C117" s="56" t="s">
        <v>299</v>
      </c>
      <c r="D117" s="39" t="str">
        <f t="shared" si="20"/>
        <v xml:space="preserve">                  Initial Coolant Inventory</v>
      </c>
      <c r="E117" s="39" t="s">
        <v>35</v>
      </c>
      <c r="F117" s="39" t="s">
        <v>300</v>
      </c>
      <c r="G117" s="39" t="s">
        <v>301</v>
      </c>
      <c r="H117" s="39"/>
      <c r="I117" s="39"/>
      <c r="J117" s="43"/>
      <c r="K117" s="61">
        <v>170</v>
      </c>
      <c r="L117" s="49" t="s">
        <v>186</v>
      </c>
      <c r="M117" s="59" t="s">
        <v>302</v>
      </c>
      <c r="N117" s="49"/>
      <c r="O117" s="49" t="s">
        <v>188</v>
      </c>
      <c r="P117" s="49"/>
      <c r="Q117" s="66">
        <v>2024</v>
      </c>
      <c r="R117" s="49" t="s">
        <v>219</v>
      </c>
      <c r="S117" s="59" t="s">
        <v>303</v>
      </c>
      <c r="T117" s="63" t="s">
        <v>303</v>
      </c>
      <c r="U117" s="83" t="s">
        <v>304</v>
      </c>
      <c r="V117" s="49" t="s">
        <v>305</v>
      </c>
      <c r="W117" s="77" t="s">
        <v>43</v>
      </c>
      <c r="X117" s="80">
        <f>0.9*$J117</f>
        <v>0</v>
      </c>
      <c r="Y117" s="80">
        <f>1.5*J117</f>
        <v>0</v>
      </c>
      <c r="Z117" s="77" t="s">
        <v>44</v>
      </c>
      <c r="AA117" s="79">
        <f t="shared" si="25"/>
        <v>153</v>
      </c>
      <c r="AB117" s="79">
        <f t="shared" si="26"/>
        <v>221</v>
      </c>
      <c r="AC117" s="77" t="s">
        <v>44</v>
      </c>
      <c r="AD117" s="79" t="s">
        <v>45</v>
      </c>
      <c r="AE117" s="79" t="s">
        <v>46</v>
      </c>
      <c r="AF117" s="79" t="s">
        <v>47</v>
      </c>
      <c r="AG117" s="77" t="s">
        <v>48</v>
      </c>
    </row>
    <row r="118" spans="1:33" ht="30" customHeight="1" x14ac:dyDescent="0.2">
      <c r="A118" s="53">
        <v>222.5</v>
      </c>
      <c r="B118" s="38">
        <f>IF(ISNUMBER(A118),
    IF(AND(A118=INT(A118), MOD(A118, 10) = 0), 0,
        IF(AND(A118=INT(A118), LEN(A118)=2), 1,
            IF(AND(A118=INT(A118), LEN(A118)=3), 2,
                LEN(A118) - FIND(".", A118) + 2)
        )
    ),
"")</f>
        <v>3</v>
      </c>
      <c r="C118" s="56" t="s">
        <v>299</v>
      </c>
      <c r="D118" s="39" t="str">
        <f t="shared" si="20"/>
        <v xml:space="preserve">                  Initial Coolant Inventory</v>
      </c>
      <c r="E118" s="39" t="s">
        <v>35</v>
      </c>
      <c r="F118" s="39" t="s">
        <v>300</v>
      </c>
      <c r="G118" s="39" t="s">
        <v>306</v>
      </c>
      <c r="H118" s="39"/>
      <c r="I118" s="39"/>
      <c r="J118" s="43"/>
      <c r="K118" s="61">
        <v>118</v>
      </c>
      <c r="L118" s="49" t="s">
        <v>186</v>
      </c>
      <c r="M118" s="59" t="s">
        <v>302</v>
      </c>
      <c r="N118" s="49"/>
      <c r="O118" s="49" t="s">
        <v>188</v>
      </c>
      <c r="P118" s="49"/>
      <c r="Q118" s="66">
        <v>2023</v>
      </c>
      <c r="R118" s="49" t="s">
        <v>219</v>
      </c>
      <c r="S118" s="59"/>
      <c r="T118" s="63"/>
      <c r="U118" s="83"/>
      <c r="V118" s="49"/>
      <c r="W118" s="77" t="s">
        <v>43</v>
      </c>
      <c r="X118" s="80"/>
      <c r="Y118" s="80"/>
      <c r="Z118" s="77"/>
      <c r="AA118" s="79">
        <f t="shared" si="25"/>
        <v>106.2</v>
      </c>
      <c r="AB118" s="79">
        <f t="shared" si="26"/>
        <v>153.4</v>
      </c>
      <c r="AC118" s="77" t="s">
        <v>44</v>
      </c>
      <c r="AD118" s="79" t="s">
        <v>45</v>
      </c>
      <c r="AE118" s="79" t="s">
        <v>46</v>
      </c>
      <c r="AF118" s="79">
        <v>0</v>
      </c>
      <c r="AG118" s="77" t="s">
        <v>48</v>
      </c>
    </row>
    <row r="119" spans="1:33" ht="30" customHeight="1" x14ac:dyDescent="0.2">
      <c r="A119" s="53">
        <v>222.6</v>
      </c>
      <c r="B119" s="38">
        <f t="shared" ref="B119:B126" si="27">IF(ISNUMBER(A119),
IF(AND(A119=INT(A119), MOD(A119, 10) = 0), 0,
IF(AND(A119=INT(A119), LEN(A119)=2), 1,
IF(AND(A119=INT(A119), LEN(A119)=3), 2,
LEN(A119) - FIND(".", A119) + 2)
)
),
"")</f>
        <v>3</v>
      </c>
      <c r="C119" s="56" t="s">
        <v>307</v>
      </c>
      <c r="D119" s="39" t="str">
        <f t="shared" si="20"/>
        <v xml:space="preserve">                  Integrated Heat Transfer Vessel</v>
      </c>
      <c r="E119" s="39"/>
      <c r="F119" s="39" t="s">
        <v>118</v>
      </c>
      <c r="G119" s="39" t="s">
        <v>119</v>
      </c>
      <c r="H119" s="39"/>
      <c r="I119" s="39"/>
      <c r="J119" s="43"/>
      <c r="K119" s="61"/>
      <c r="L119" s="49"/>
      <c r="M119" s="59"/>
      <c r="N119" s="49"/>
      <c r="O119" s="49"/>
      <c r="P119" s="49"/>
      <c r="Q119" s="66"/>
      <c r="R119" s="49"/>
      <c r="S119" s="59"/>
      <c r="T119" s="63"/>
      <c r="U119" s="83"/>
      <c r="V119" s="49"/>
      <c r="W119" s="77"/>
      <c r="X119" s="80"/>
      <c r="Y119" s="80"/>
      <c r="Z119" s="77"/>
      <c r="AA119" s="79"/>
      <c r="AB119" s="79"/>
      <c r="AC119" s="77"/>
      <c r="AD119" s="79"/>
      <c r="AE119" s="79"/>
      <c r="AF119" s="79"/>
      <c r="AG119" s="77"/>
    </row>
    <row r="120" spans="1:33" ht="30" customHeight="1" x14ac:dyDescent="0.2">
      <c r="A120" s="53">
        <v>222.61</v>
      </c>
      <c r="B120" s="38">
        <f t="shared" si="27"/>
        <v>4</v>
      </c>
      <c r="C120" s="56" t="s">
        <v>307</v>
      </c>
      <c r="D120" s="39" t="str">
        <f t="shared" si="20"/>
        <v xml:space="preserve">                        Integrated Heat Transfer Vessel</v>
      </c>
      <c r="E120" s="39" t="s">
        <v>35</v>
      </c>
      <c r="F120" s="39" t="s">
        <v>118</v>
      </c>
      <c r="G120" s="39" t="s">
        <v>119</v>
      </c>
      <c r="H120" s="39"/>
      <c r="I120" s="39"/>
      <c r="J120" s="43"/>
      <c r="K120" s="61">
        <v>50</v>
      </c>
      <c r="L120" s="49" t="s">
        <v>186</v>
      </c>
      <c r="M120" s="59" t="s">
        <v>308</v>
      </c>
      <c r="N120" s="49"/>
      <c r="O120" s="49" t="s">
        <v>188</v>
      </c>
      <c r="P120" s="49"/>
      <c r="Q120" s="66">
        <v>2004</v>
      </c>
      <c r="R120" s="49" t="s">
        <v>86</v>
      </c>
      <c r="S120" s="59" t="s">
        <v>293</v>
      </c>
      <c r="T120" s="63" t="s">
        <v>294</v>
      </c>
      <c r="U120" s="83"/>
      <c r="V120" s="150" t="s">
        <v>309</v>
      </c>
      <c r="W120" s="77" t="s">
        <v>157</v>
      </c>
      <c r="X120" s="80">
        <f>0.9*$J120</f>
        <v>0</v>
      </c>
      <c r="Y120" s="80">
        <f>1.5*J120</f>
        <v>0</v>
      </c>
      <c r="Z120" s="77" t="s">
        <v>44</v>
      </c>
      <c r="AA120" s="79">
        <f>0.9*K120</f>
        <v>45</v>
      </c>
      <c r="AB120" s="79">
        <f>1.3*K120</f>
        <v>65</v>
      </c>
      <c r="AC120" s="77" t="s">
        <v>44</v>
      </c>
      <c r="AD120" s="79" t="s">
        <v>45</v>
      </c>
      <c r="AE120" s="79" t="s">
        <v>46</v>
      </c>
      <c r="AF120" s="79" t="s">
        <v>47</v>
      </c>
      <c r="AG120" s="77" t="s">
        <v>48</v>
      </c>
    </row>
    <row r="121" spans="1:33" ht="30" customHeight="1" x14ac:dyDescent="0.2">
      <c r="A121" s="53">
        <v>222.62</v>
      </c>
      <c r="B121" s="38">
        <f t="shared" si="27"/>
        <v>4</v>
      </c>
      <c r="C121" s="56" t="s">
        <v>310</v>
      </c>
      <c r="D121" s="39" t="str">
        <f t="shared" si="20"/>
        <v xml:space="preserve">                        Integrated Heat Transfer System Support</v>
      </c>
      <c r="E121" s="39" t="s">
        <v>35</v>
      </c>
      <c r="F121" s="39" t="s">
        <v>118</v>
      </c>
      <c r="G121" s="39" t="s">
        <v>119</v>
      </c>
      <c r="H121" s="39"/>
      <c r="I121" s="39"/>
      <c r="J121" s="43"/>
      <c r="K121" s="61">
        <f>3171011/N121</f>
        <v>8.1938268733850137</v>
      </c>
      <c r="L121" s="49" t="s">
        <v>186</v>
      </c>
      <c r="M121" s="59" t="s">
        <v>308</v>
      </c>
      <c r="N121" s="49">
        <v>387000</v>
      </c>
      <c r="O121" s="49" t="s">
        <v>188</v>
      </c>
      <c r="P121" s="49">
        <v>0.85</v>
      </c>
      <c r="Q121" s="66">
        <v>2018</v>
      </c>
      <c r="R121" s="49" t="s">
        <v>86</v>
      </c>
      <c r="S121" s="59" t="s">
        <v>189</v>
      </c>
      <c r="T121" s="63" t="s">
        <v>294</v>
      </c>
      <c r="U121" s="83"/>
      <c r="V121" s="149"/>
      <c r="W121" s="77" t="s">
        <v>157</v>
      </c>
      <c r="X121" s="80">
        <f>0.9*$J121</f>
        <v>0</v>
      </c>
      <c r="Y121" s="80">
        <f>1.5*J121</f>
        <v>0</v>
      </c>
      <c r="Z121" s="77" t="s">
        <v>44</v>
      </c>
      <c r="AA121" s="79">
        <f>0.9*K121</f>
        <v>7.3744441860465129</v>
      </c>
      <c r="AB121" s="79">
        <f>1.3*K121</f>
        <v>10.651974935400519</v>
      </c>
      <c r="AC121" s="77" t="s">
        <v>44</v>
      </c>
      <c r="AD121" s="79" t="s">
        <v>45</v>
      </c>
      <c r="AE121" s="79" t="s">
        <v>46</v>
      </c>
      <c r="AF121" s="79" t="s">
        <v>47</v>
      </c>
      <c r="AG121" s="77" t="s">
        <v>48</v>
      </c>
    </row>
    <row r="122" spans="1:33" ht="15" customHeight="1" x14ac:dyDescent="0.2">
      <c r="A122" s="53">
        <v>223</v>
      </c>
      <c r="B122" s="38">
        <f t="shared" si="27"/>
        <v>2</v>
      </c>
      <c r="C122" s="56" t="s">
        <v>311</v>
      </c>
      <c r="D122" s="39" t="str">
        <f t="shared" si="20"/>
        <v xml:space="preserve">            Safety Systems</v>
      </c>
      <c r="E122" s="39"/>
      <c r="F122" s="39"/>
      <c r="G122" s="39"/>
      <c r="H122" s="39"/>
      <c r="I122" s="39"/>
      <c r="J122" s="43"/>
      <c r="K122" s="61"/>
      <c r="L122" s="49"/>
      <c r="M122" s="59"/>
      <c r="N122" s="49"/>
      <c r="O122" s="49"/>
      <c r="P122" s="49"/>
      <c r="Q122" s="66"/>
      <c r="R122" s="49"/>
      <c r="S122" s="59"/>
      <c r="T122" s="49"/>
      <c r="U122" s="49"/>
      <c r="V122" s="49"/>
      <c r="W122" s="77"/>
      <c r="X122" s="80"/>
      <c r="Y122" s="80"/>
      <c r="Z122" s="77"/>
      <c r="AA122" s="79"/>
      <c r="AB122" s="79"/>
      <c r="AC122" s="77"/>
      <c r="AD122" s="79"/>
      <c r="AE122" s="79"/>
      <c r="AF122" s="79"/>
      <c r="AG122" s="77"/>
    </row>
    <row r="123" spans="1:33" ht="15" customHeight="1" x14ac:dyDescent="0.2">
      <c r="A123" s="53">
        <v>223.2</v>
      </c>
      <c r="B123" s="38">
        <f t="shared" si="27"/>
        <v>3</v>
      </c>
      <c r="C123" s="56" t="s">
        <v>312</v>
      </c>
      <c r="D123" s="39" t="str">
        <f t="shared" si="20"/>
        <v xml:space="preserve">                  Reactor Cavity Cooling System (Rvacs)</v>
      </c>
      <c r="E123" s="39"/>
      <c r="F123" s="39"/>
      <c r="G123" s="39"/>
      <c r="H123" s="39"/>
      <c r="I123" s="39"/>
      <c r="J123" s="43"/>
      <c r="K123" s="61"/>
      <c r="L123" s="49"/>
      <c r="M123" s="59"/>
      <c r="N123" s="49"/>
      <c r="O123" s="49"/>
      <c r="P123" s="49"/>
      <c r="Q123" s="66"/>
      <c r="R123" s="49"/>
      <c r="S123" s="59"/>
      <c r="T123" s="49"/>
      <c r="U123" s="49"/>
      <c r="V123" s="49"/>
      <c r="W123" s="77"/>
      <c r="X123" s="80"/>
      <c r="Y123" s="80"/>
      <c r="Z123" s="77"/>
      <c r="AA123" s="79"/>
      <c r="AB123" s="79"/>
      <c r="AC123" s="77"/>
      <c r="AD123" s="79"/>
      <c r="AE123" s="79"/>
      <c r="AF123" s="79"/>
      <c r="AG123" s="77"/>
    </row>
    <row r="124" spans="1:33" ht="30" customHeight="1" x14ac:dyDescent="0.2">
      <c r="A124" s="53">
        <v>223.21</v>
      </c>
      <c r="B124" s="38">
        <f t="shared" si="27"/>
        <v>4</v>
      </c>
      <c r="C124" s="56" t="s">
        <v>313</v>
      </c>
      <c r="D124" s="39" t="str">
        <f t="shared" si="20"/>
        <v xml:space="preserve">                        Rvacs (Cooling Vessel)</v>
      </c>
      <c r="E124" s="39" t="s">
        <v>35</v>
      </c>
      <c r="F124" s="39"/>
      <c r="G124" s="45"/>
      <c r="H124" s="45"/>
      <c r="I124" s="45"/>
      <c r="J124" s="66"/>
      <c r="K124" s="61">
        <f>K68</f>
        <v>757.20768746061754</v>
      </c>
      <c r="L124" s="49" t="s">
        <v>186</v>
      </c>
      <c r="M124" s="59" t="s">
        <v>314</v>
      </c>
      <c r="N124" s="49"/>
      <c r="O124" s="49"/>
      <c r="P124" s="49"/>
      <c r="Q124" s="66">
        <v>2017</v>
      </c>
      <c r="R124" s="49" t="s">
        <v>86</v>
      </c>
      <c r="S124" s="59" t="s">
        <v>196</v>
      </c>
      <c r="T124" s="63" t="s">
        <v>197</v>
      </c>
      <c r="U124" s="49"/>
      <c r="V124" s="49"/>
      <c r="W124" s="77" t="s">
        <v>157</v>
      </c>
      <c r="X124" s="80">
        <f t="shared" ref="X124:X129" si="28">0.9*$J124</f>
        <v>0</v>
      </c>
      <c r="Y124" s="80">
        <f t="shared" ref="Y124:Y129" si="29">1.5*J124</f>
        <v>0</v>
      </c>
      <c r="Z124" s="77" t="s">
        <v>44</v>
      </c>
      <c r="AA124" s="79">
        <f t="shared" ref="AA124:AA129" si="30">0.9*K124</f>
        <v>681.48691871455583</v>
      </c>
      <c r="AB124" s="79">
        <f t="shared" ref="AB124:AB129" si="31">1.3*K124</f>
        <v>984.36999369880277</v>
      </c>
      <c r="AC124" s="77" t="s">
        <v>44</v>
      </c>
      <c r="AD124" s="79" t="s">
        <v>45</v>
      </c>
      <c r="AE124" s="79" t="s">
        <v>46</v>
      </c>
      <c r="AF124" s="79" t="s">
        <v>47</v>
      </c>
      <c r="AG124" s="77" t="s">
        <v>48</v>
      </c>
    </row>
    <row r="125" spans="1:33" ht="30" customHeight="1" x14ac:dyDescent="0.2">
      <c r="A125" s="53">
        <v>223.22</v>
      </c>
      <c r="B125" s="38">
        <f t="shared" si="27"/>
        <v>4</v>
      </c>
      <c r="C125" s="56" t="s">
        <v>315</v>
      </c>
      <c r="D125" s="39" t="str">
        <f t="shared" si="20"/>
        <v xml:space="preserve">                        Rvacs (Intake Vessel)</v>
      </c>
      <c r="E125" s="39" t="s">
        <v>35</v>
      </c>
      <c r="F125" s="39"/>
      <c r="G125" s="45"/>
      <c r="H125" s="45"/>
      <c r="I125" s="45"/>
      <c r="J125" s="66"/>
      <c r="K125" s="61">
        <f>K124</f>
        <v>757.20768746061754</v>
      </c>
      <c r="L125" s="49" t="s">
        <v>186</v>
      </c>
      <c r="M125" s="59" t="s">
        <v>316</v>
      </c>
      <c r="N125" s="49"/>
      <c r="O125" s="49"/>
      <c r="P125" s="49"/>
      <c r="Q125" s="66">
        <v>2017</v>
      </c>
      <c r="R125" s="49" t="s">
        <v>86</v>
      </c>
      <c r="S125" s="59" t="s">
        <v>196</v>
      </c>
      <c r="T125" s="63" t="s">
        <v>197</v>
      </c>
      <c r="U125" s="49"/>
      <c r="V125" s="49"/>
      <c r="W125" s="77" t="s">
        <v>157</v>
      </c>
      <c r="X125" s="80">
        <f t="shared" si="28"/>
        <v>0</v>
      </c>
      <c r="Y125" s="80">
        <f t="shared" si="29"/>
        <v>0</v>
      </c>
      <c r="Z125" s="77" t="s">
        <v>44</v>
      </c>
      <c r="AA125" s="79">
        <f t="shared" si="30"/>
        <v>681.48691871455583</v>
      </c>
      <c r="AB125" s="79">
        <f t="shared" si="31"/>
        <v>984.36999369880277</v>
      </c>
      <c r="AC125" s="77" t="s">
        <v>44</v>
      </c>
      <c r="AD125" s="79" t="s">
        <v>45</v>
      </c>
      <c r="AE125" s="79" t="s">
        <v>46</v>
      </c>
      <c r="AF125" s="79" t="s">
        <v>47</v>
      </c>
      <c r="AG125" s="77" t="s">
        <v>48</v>
      </c>
    </row>
    <row r="126" spans="1:33" ht="30" customHeight="1" x14ac:dyDescent="0.2">
      <c r="A126" s="53">
        <v>226</v>
      </c>
      <c r="B126" s="38">
        <f t="shared" si="27"/>
        <v>2</v>
      </c>
      <c r="C126" s="56" t="s">
        <v>317</v>
      </c>
      <c r="D126" s="39" t="str">
        <f t="shared" si="20"/>
        <v xml:space="preserve">            Other Reactor Plant Equipment</v>
      </c>
      <c r="E126" s="39" t="s">
        <v>35</v>
      </c>
      <c r="F126" s="39" t="s">
        <v>118</v>
      </c>
      <c r="G126" s="45" t="s">
        <v>283</v>
      </c>
      <c r="H126" s="45"/>
      <c r="I126" s="45"/>
      <c r="J126" s="61">
        <f>MARVEL_Cost!C42</f>
        <v>456297</v>
      </c>
      <c r="K126" s="61"/>
      <c r="L126" s="49"/>
      <c r="M126" s="59"/>
      <c r="N126" s="49"/>
      <c r="O126" s="49"/>
      <c r="P126" s="49"/>
      <c r="Q126" s="66">
        <v>2024</v>
      </c>
      <c r="R126" s="49" t="s">
        <v>153</v>
      </c>
      <c r="S126" s="59" t="s">
        <v>318</v>
      </c>
      <c r="T126" s="49"/>
      <c r="U126" s="49"/>
      <c r="V126" s="49"/>
      <c r="W126" s="77" t="s">
        <v>157</v>
      </c>
      <c r="X126" s="80">
        <f t="shared" si="28"/>
        <v>410667.3</v>
      </c>
      <c r="Y126" s="80">
        <f t="shared" si="29"/>
        <v>684445.5</v>
      </c>
      <c r="Z126" s="77" t="s">
        <v>44</v>
      </c>
      <c r="AA126" s="79">
        <f t="shared" si="30"/>
        <v>0</v>
      </c>
      <c r="AB126" s="79">
        <f t="shared" si="31"/>
        <v>0</v>
      </c>
      <c r="AC126" s="77" t="s">
        <v>44</v>
      </c>
      <c r="AD126" s="79" t="s">
        <v>45</v>
      </c>
      <c r="AE126" s="79" t="s">
        <v>46</v>
      </c>
      <c r="AF126" s="79" t="s">
        <v>47</v>
      </c>
      <c r="AG126" s="77" t="s">
        <v>48</v>
      </c>
    </row>
    <row r="127" spans="1:33" ht="30" customHeight="1" x14ac:dyDescent="0.2">
      <c r="A127" s="53">
        <v>226</v>
      </c>
      <c r="B127" s="38">
        <v>2</v>
      </c>
      <c r="C127" s="56" t="s">
        <v>317</v>
      </c>
      <c r="D127" s="39" t="str">
        <f t="shared" si="20"/>
        <v xml:space="preserve">            Other Reactor Plant Equipment</v>
      </c>
      <c r="E127" s="39" t="s">
        <v>35</v>
      </c>
      <c r="F127" s="39" t="s">
        <v>118</v>
      </c>
      <c r="G127" s="45" t="s">
        <v>119</v>
      </c>
      <c r="H127" s="45"/>
      <c r="I127" s="45"/>
      <c r="J127" s="61"/>
      <c r="K127" s="61">
        <f>8844770/N127*8.15527886031535</f>
        <v>118207.77405377067</v>
      </c>
      <c r="L127" s="49" t="s">
        <v>277</v>
      </c>
      <c r="M127" s="59" t="s">
        <v>319</v>
      </c>
      <c r="N127" s="49">
        <v>610.21</v>
      </c>
      <c r="O127" s="49" t="s">
        <v>320</v>
      </c>
      <c r="P127" s="49">
        <v>0.6</v>
      </c>
      <c r="Q127" s="66">
        <v>2023</v>
      </c>
      <c r="R127" s="49" t="s">
        <v>86</v>
      </c>
      <c r="S127" s="59" t="s">
        <v>321</v>
      </c>
      <c r="T127" s="49" t="s">
        <v>322</v>
      </c>
      <c r="U127" s="75" t="s">
        <v>323</v>
      </c>
      <c r="V127" s="49" t="s">
        <v>324</v>
      </c>
      <c r="W127" s="77" t="s">
        <v>157</v>
      </c>
      <c r="X127" s="80">
        <f t="shared" si="28"/>
        <v>0</v>
      </c>
      <c r="Y127" s="80">
        <f t="shared" si="29"/>
        <v>0</v>
      </c>
      <c r="Z127" s="77" t="s">
        <v>44</v>
      </c>
      <c r="AA127" s="79">
        <f t="shared" si="30"/>
        <v>106386.9966483936</v>
      </c>
      <c r="AB127" s="79">
        <f t="shared" si="31"/>
        <v>153670.10626990188</v>
      </c>
      <c r="AC127" s="77" t="s">
        <v>44</v>
      </c>
      <c r="AD127" s="79" t="s">
        <v>45</v>
      </c>
      <c r="AE127" s="79" t="s">
        <v>46</v>
      </c>
      <c r="AF127" s="79" t="s">
        <v>47</v>
      </c>
      <c r="AG127" s="77" t="s">
        <v>48</v>
      </c>
    </row>
    <row r="128" spans="1:33" ht="43" customHeight="1" x14ac:dyDescent="0.2">
      <c r="A128" s="53">
        <v>227</v>
      </c>
      <c r="B128" s="38">
        <f>IF(ISNUMBER(A128),
    IF(AND(A128=INT(A128), MOD(A128, 10) = 0), 0,
        IF(AND(A128=INT(A128), LEN(A128)=2), 1,
            IF(AND(A128=INT(A128), LEN(A128)=3), 2,
                LEN(A128) - FIND(".", A128) + 2)
        )
    ),
"")</f>
        <v>2</v>
      </c>
      <c r="C128" s="56" t="s">
        <v>325</v>
      </c>
      <c r="D128" s="39" t="str">
        <f t="shared" si="20"/>
        <v xml:space="preserve">            Reactor Instrumentation and Control (I&amp;C)</v>
      </c>
      <c r="E128" s="39" t="s">
        <v>35</v>
      </c>
      <c r="F128" s="39"/>
      <c r="G128" s="45"/>
      <c r="H128" s="45"/>
      <c r="I128" s="45"/>
      <c r="J128" s="61">
        <v>8500000</v>
      </c>
      <c r="K128" s="61"/>
      <c r="L128" s="49"/>
      <c r="M128" s="59"/>
      <c r="N128" s="49"/>
      <c r="O128" s="49"/>
      <c r="P128" s="49"/>
      <c r="Q128" s="66">
        <v>2023</v>
      </c>
      <c r="R128" s="49" t="s">
        <v>73</v>
      </c>
      <c r="S128" s="59" t="s">
        <v>326</v>
      </c>
      <c r="T128" s="59" t="s">
        <v>327</v>
      </c>
      <c r="U128" s="75" t="s">
        <v>328</v>
      </c>
      <c r="V128" s="49" t="s">
        <v>329</v>
      </c>
      <c r="W128" s="77" t="s">
        <v>157</v>
      </c>
      <c r="X128" s="80">
        <f t="shared" si="28"/>
        <v>7650000</v>
      </c>
      <c r="Y128" s="80">
        <f t="shared" si="29"/>
        <v>12750000</v>
      </c>
      <c r="Z128" s="77" t="s">
        <v>44</v>
      </c>
      <c r="AA128" s="79">
        <f t="shared" si="30"/>
        <v>0</v>
      </c>
      <c r="AB128" s="79">
        <f t="shared" si="31"/>
        <v>0</v>
      </c>
      <c r="AC128" s="77" t="s">
        <v>44</v>
      </c>
      <c r="AD128" s="79" t="s">
        <v>45</v>
      </c>
      <c r="AE128" s="79" t="s">
        <v>46</v>
      </c>
      <c r="AF128" s="79" t="s">
        <v>47</v>
      </c>
      <c r="AG128" s="77" t="s">
        <v>48</v>
      </c>
    </row>
    <row r="129" spans="1:33" ht="15" customHeight="1" x14ac:dyDescent="0.2">
      <c r="A129" s="53">
        <v>228</v>
      </c>
      <c r="B129" s="38">
        <f t="shared" ref="B129:B145" si="32">IF(ISNUMBER(A129),
IF(AND(A129=INT(A129), MOD(A129, 10) = 0), 0,
IF(AND(A129=INT(A129), LEN(A129)=2), 1,
IF(AND(A129=INT(A129), LEN(A129)=3), 2,
LEN(A129) - FIND(".", A129) + 2)
)
),
"")</f>
        <v>2</v>
      </c>
      <c r="C129" s="56" t="s">
        <v>330</v>
      </c>
      <c r="D129" s="39" t="str">
        <f t="shared" si="20"/>
        <v xml:space="preserve">            Reactor Plant Miscellaneous Items</v>
      </c>
      <c r="E129" s="39" t="s">
        <v>35</v>
      </c>
      <c r="F129" s="39"/>
      <c r="G129" s="45"/>
      <c r="H129" s="45"/>
      <c r="I129" s="45"/>
      <c r="J129" s="61">
        <f>MARVEL_Cost!C44</f>
        <v>30960</v>
      </c>
      <c r="K129" s="61"/>
      <c r="L129" s="49"/>
      <c r="M129" s="59"/>
      <c r="N129" s="49"/>
      <c r="O129" s="49"/>
      <c r="P129" s="49"/>
      <c r="Q129" s="66">
        <v>2024</v>
      </c>
      <c r="R129" s="49" t="s">
        <v>86</v>
      </c>
      <c r="S129" s="59" t="s">
        <v>318</v>
      </c>
      <c r="T129" s="49"/>
      <c r="U129" s="49"/>
      <c r="V129" s="49"/>
      <c r="W129" s="77" t="s">
        <v>157</v>
      </c>
      <c r="X129" s="80">
        <f t="shared" si="28"/>
        <v>27864</v>
      </c>
      <c r="Y129" s="80">
        <f t="shared" si="29"/>
        <v>46440</v>
      </c>
      <c r="Z129" s="77" t="s">
        <v>44</v>
      </c>
      <c r="AA129" s="79">
        <f t="shared" si="30"/>
        <v>0</v>
      </c>
      <c r="AB129" s="79">
        <f t="shared" si="31"/>
        <v>0</v>
      </c>
      <c r="AC129" s="77" t="s">
        <v>44</v>
      </c>
      <c r="AD129" s="79" t="s">
        <v>45</v>
      </c>
      <c r="AE129" s="79" t="s">
        <v>46</v>
      </c>
      <c r="AF129" s="79" t="s">
        <v>47</v>
      </c>
      <c r="AG129" s="77" t="s">
        <v>48</v>
      </c>
    </row>
    <row r="130" spans="1:33" ht="15" customHeight="1" x14ac:dyDescent="0.2">
      <c r="A130" s="37">
        <v>23</v>
      </c>
      <c r="B130" s="38">
        <f t="shared" si="32"/>
        <v>1</v>
      </c>
      <c r="C130" s="56" t="s">
        <v>331</v>
      </c>
      <c r="D130" s="39" t="str">
        <f t="shared" ref="D130:D161" si="33">REPT("   ", B130*2) &amp; C130</f>
        <v xml:space="preserve">      Energy Conversion System </v>
      </c>
      <c r="E130" s="39"/>
      <c r="F130" s="39"/>
      <c r="G130" s="45"/>
      <c r="H130" s="45"/>
      <c r="I130" s="45"/>
      <c r="J130" s="66"/>
      <c r="K130" s="61"/>
      <c r="L130" s="49"/>
      <c r="M130" s="59"/>
      <c r="N130" s="49"/>
      <c r="O130" s="49"/>
      <c r="P130" s="49"/>
      <c r="Q130" s="66"/>
      <c r="R130" s="49"/>
      <c r="S130" s="59"/>
      <c r="T130" s="49"/>
      <c r="U130" s="49"/>
      <c r="V130" s="49"/>
      <c r="W130" s="77"/>
      <c r="X130" s="80"/>
      <c r="Y130" s="80"/>
      <c r="Z130" s="77"/>
      <c r="AA130" s="79"/>
      <c r="AB130" s="79"/>
      <c r="AC130" s="77"/>
      <c r="AD130" s="79"/>
      <c r="AE130" s="79"/>
      <c r="AF130" s="79"/>
      <c r="AG130" s="77"/>
    </row>
    <row r="131" spans="1:33" ht="15" customHeight="1" x14ac:dyDescent="0.2">
      <c r="A131" s="53">
        <v>232</v>
      </c>
      <c r="B131" s="38">
        <f t="shared" si="32"/>
        <v>2</v>
      </c>
      <c r="C131" s="56" t="s">
        <v>332</v>
      </c>
      <c r="D131" s="39" t="str">
        <f t="shared" si="33"/>
        <v xml:space="preserve">            Energy Applications</v>
      </c>
      <c r="E131" s="39"/>
      <c r="F131" s="39"/>
      <c r="G131" s="45"/>
      <c r="H131" s="45"/>
      <c r="I131" s="45"/>
      <c r="J131" s="66"/>
      <c r="K131" s="61"/>
      <c r="L131" s="49"/>
      <c r="M131" s="59"/>
      <c r="N131" s="49"/>
      <c r="O131" s="49"/>
      <c r="P131" s="49"/>
      <c r="Q131" s="66"/>
      <c r="R131" s="49"/>
      <c r="S131" s="59"/>
      <c r="T131" s="49"/>
      <c r="U131" s="49"/>
      <c r="V131" s="49"/>
      <c r="W131" s="77"/>
      <c r="X131" s="80"/>
      <c r="Y131" s="80"/>
      <c r="Z131" s="77"/>
      <c r="AA131" s="79"/>
      <c r="AB131" s="79"/>
      <c r="AC131" s="77"/>
      <c r="AD131" s="79"/>
      <c r="AE131" s="79"/>
      <c r="AF131" s="79"/>
      <c r="AG131" s="77"/>
    </row>
    <row r="132" spans="1:33" ht="15" customHeight="1" x14ac:dyDescent="0.2">
      <c r="A132" s="53">
        <v>232.1</v>
      </c>
      <c r="B132" s="38">
        <f t="shared" si="32"/>
        <v>3</v>
      </c>
      <c r="C132" s="56" t="s">
        <v>333</v>
      </c>
      <c r="D132" s="39" t="str">
        <f t="shared" si="33"/>
        <v xml:space="preserve">                  Electricity Generation Systems</v>
      </c>
      <c r="E132" s="39" t="s">
        <v>35</v>
      </c>
      <c r="F132" s="39"/>
      <c r="G132" s="45"/>
      <c r="H132" s="45"/>
      <c r="I132" s="45"/>
      <c r="J132" s="66"/>
      <c r="K132" s="43">
        <v>12504</v>
      </c>
      <c r="L132" s="49" t="s">
        <v>334</v>
      </c>
      <c r="M132" s="45" t="s">
        <v>335</v>
      </c>
      <c r="N132" s="49">
        <v>1</v>
      </c>
      <c r="O132" s="49"/>
      <c r="P132" s="45">
        <v>0.77700000000000002</v>
      </c>
      <c r="Q132" s="66">
        <v>2023</v>
      </c>
      <c r="R132" s="49" t="s">
        <v>86</v>
      </c>
      <c r="S132" s="59" t="s">
        <v>336</v>
      </c>
      <c r="T132" s="59" t="s">
        <v>336</v>
      </c>
      <c r="U132" s="75" t="s">
        <v>337</v>
      </c>
      <c r="V132" s="49"/>
      <c r="W132" s="77" t="s">
        <v>338</v>
      </c>
      <c r="X132" s="80">
        <f>0.9*$J132</f>
        <v>0</v>
      </c>
      <c r="Y132" s="80">
        <f>1.5*J132</f>
        <v>0</v>
      </c>
      <c r="Z132" s="77" t="s">
        <v>44</v>
      </c>
      <c r="AA132" s="79">
        <f>0.9*K132</f>
        <v>11253.6</v>
      </c>
      <c r="AB132" s="79">
        <f>1.3*K132</f>
        <v>16255.2</v>
      </c>
      <c r="AC132" s="77" t="s">
        <v>44</v>
      </c>
      <c r="AD132" s="79" t="s">
        <v>45</v>
      </c>
      <c r="AE132" s="79" t="s">
        <v>46</v>
      </c>
      <c r="AF132" s="79" t="s">
        <v>47</v>
      </c>
      <c r="AG132" s="77" t="s">
        <v>48</v>
      </c>
    </row>
    <row r="133" spans="1:33" ht="43" customHeight="1" x14ac:dyDescent="0.2">
      <c r="A133" s="53">
        <v>236</v>
      </c>
      <c r="B133" s="38">
        <f t="shared" si="32"/>
        <v>2</v>
      </c>
      <c r="C133" s="56" t="s">
        <v>339</v>
      </c>
      <c r="D133" s="39" t="str">
        <f t="shared" si="33"/>
        <v xml:space="preserve">            Common Instrumentation &amp; Controls</v>
      </c>
      <c r="E133" s="39" t="s">
        <v>35</v>
      </c>
      <c r="F133" s="39"/>
      <c r="G133" s="45"/>
      <c r="H133" s="45"/>
      <c r="I133" s="45"/>
      <c r="J133" s="43">
        <v>1000000</v>
      </c>
      <c r="K133" s="43"/>
      <c r="L133" s="49"/>
      <c r="M133" s="45"/>
      <c r="N133" s="49"/>
      <c r="O133" s="49"/>
      <c r="P133" s="45"/>
      <c r="Q133" s="66">
        <v>2023</v>
      </c>
      <c r="R133" s="49" t="s">
        <v>86</v>
      </c>
      <c r="S133" s="59" t="s">
        <v>326</v>
      </c>
      <c r="T133" s="59" t="s">
        <v>327</v>
      </c>
      <c r="U133" s="75" t="s">
        <v>328</v>
      </c>
      <c r="V133" s="49"/>
      <c r="W133" s="77" t="s">
        <v>157</v>
      </c>
      <c r="X133" s="80">
        <f>0.9*$J133</f>
        <v>900000</v>
      </c>
      <c r="Y133" s="80">
        <f>1.5*J133</f>
        <v>1500000</v>
      </c>
      <c r="Z133" s="77" t="s">
        <v>44</v>
      </c>
      <c r="AA133" s="79"/>
      <c r="AB133" s="79"/>
      <c r="AC133" s="77"/>
      <c r="AD133" s="79"/>
      <c r="AE133" s="79"/>
      <c r="AF133" s="79"/>
      <c r="AG133" s="77"/>
    </row>
    <row r="134" spans="1:33" ht="15" customHeight="1" x14ac:dyDescent="0.2">
      <c r="A134" s="37">
        <v>24</v>
      </c>
      <c r="B134" s="38">
        <f t="shared" si="32"/>
        <v>1</v>
      </c>
      <c r="C134" s="56" t="s">
        <v>340</v>
      </c>
      <c r="D134" s="39" t="str">
        <f t="shared" si="33"/>
        <v xml:space="preserve">      Electrical Equipment</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37">
        <v>241</v>
      </c>
      <c r="B135" s="38">
        <f t="shared" si="32"/>
        <v>2</v>
      </c>
      <c r="C135" s="76" t="s">
        <v>341</v>
      </c>
      <c r="D135" s="39" t="str">
        <f t="shared" si="33"/>
        <v xml:space="preserve">            Switchgear</v>
      </c>
      <c r="E135" s="39" t="s">
        <v>35</v>
      </c>
      <c r="F135" s="39"/>
      <c r="G135" s="45"/>
      <c r="H135" s="45"/>
      <c r="I135" s="45"/>
      <c r="J135" s="66"/>
      <c r="K135" s="61">
        <f>14424707.2061682/N135</f>
        <v>12609.009795601574</v>
      </c>
      <c r="L135" s="49" t="s">
        <v>50</v>
      </c>
      <c r="M135" s="45" t="s">
        <v>51</v>
      </c>
      <c r="N135" s="49">
        <v>1144</v>
      </c>
      <c r="O135" s="49" t="s">
        <v>52</v>
      </c>
      <c r="P135" s="45">
        <v>0.6</v>
      </c>
      <c r="Q135" s="66">
        <v>2018</v>
      </c>
      <c r="R135" s="49" t="s">
        <v>86</v>
      </c>
      <c r="S135" s="151" t="s">
        <v>342</v>
      </c>
      <c r="T135" s="151" t="s">
        <v>343</v>
      </c>
      <c r="U135" s="49"/>
      <c r="V135" s="49"/>
      <c r="W135" s="77" t="s">
        <v>338</v>
      </c>
      <c r="X135" s="80">
        <f t="shared" ref="X135:X140" si="34">0.9*$J135</f>
        <v>0</v>
      </c>
      <c r="Y135" s="80">
        <f t="shared" ref="Y135:Y140" si="35">1.5*J135</f>
        <v>0</v>
      </c>
      <c r="Z135" s="77"/>
      <c r="AA135" s="79">
        <f t="shared" ref="AA135:AA140" si="36">0.9*K135</f>
        <v>11348.108816041417</v>
      </c>
      <c r="AB135" s="79">
        <f t="shared" ref="AB135:AB140" si="37">1.3*K135</f>
        <v>16391.712734282046</v>
      </c>
      <c r="AC135" s="77" t="s">
        <v>44</v>
      </c>
      <c r="AD135" s="79">
        <v>0.1</v>
      </c>
      <c r="AE135" s="79">
        <v>1</v>
      </c>
      <c r="AF135" s="79">
        <v>0</v>
      </c>
      <c r="AG135" s="77" t="s">
        <v>48</v>
      </c>
    </row>
    <row r="136" spans="1:33" ht="15" customHeight="1" x14ac:dyDescent="0.2">
      <c r="A136" s="37">
        <v>242</v>
      </c>
      <c r="B136" s="38">
        <f t="shared" si="32"/>
        <v>2</v>
      </c>
      <c r="C136" s="76" t="s">
        <v>344</v>
      </c>
      <c r="D136" s="39" t="str">
        <f t="shared" si="33"/>
        <v xml:space="preserve">            Station Service Equipment</v>
      </c>
      <c r="E136" s="39" t="s">
        <v>35</v>
      </c>
      <c r="F136" s="39"/>
      <c r="G136" s="45"/>
      <c r="H136" s="45"/>
      <c r="I136" s="45"/>
      <c r="J136" s="66"/>
      <c r="K136" s="61">
        <f>11992641.3775456/N135</f>
        <v>10483.078127225175</v>
      </c>
      <c r="L136" s="49" t="s">
        <v>50</v>
      </c>
      <c r="M136" s="45" t="s">
        <v>51</v>
      </c>
      <c r="N136" s="49">
        <v>1144</v>
      </c>
      <c r="O136" s="49" t="s">
        <v>52</v>
      </c>
      <c r="P136" s="45">
        <v>0.6</v>
      </c>
      <c r="Q136" s="66">
        <v>2018</v>
      </c>
      <c r="R136" s="49" t="s">
        <v>86</v>
      </c>
      <c r="S136" s="148"/>
      <c r="T136" s="148"/>
      <c r="U136" s="49"/>
      <c r="V136" s="49"/>
      <c r="W136" s="77" t="s">
        <v>338</v>
      </c>
      <c r="X136" s="80">
        <f t="shared" si="34"/>
        <v>0</v>
      </c>
      <c r="Y136" s="80">
        <f t="shared" si="35"/>
        <v>0</v>
      </c>
      <c r="Z136" s="77"/>
      <c r="AA136" s="79">
        <f t="shared" si="36"/>
        <v>9434.7703145026571</v>
      </c>
      <c r="AB136" s="79">
        <f t="shared" si="37"/>
        <v>13628.001565392728</v>
      </c>
      <c r="AC136" s="77" t="s">
        <v>44</v>
      </c>
      <c r="AD136" s="79">
        <v>0.1</v>
      </c>
      <c r="AE136" s="79">
        <v>1</v>
      </c>
      <c r="AF136" s="79">
        <v>0</v>
      </c>
      <c r="AG136" s="77" t="s">
        <v>48</v>
      </c>
    </row>
    <row r="137" spans="1:33" ht="15" customHeight="1" x14ac:dyDescent="0.2">
      <c r="A137" s="37">
        <v>243</v>
      </c>
      <c r="B137" s="38">
        <f t="shared" si="32"/>
        <v>2</v>
      </c>
      <c r="C137" s="76" t="s">
        <v>345</v>
      </c>
      <c r="D137" s="39" t="str">
        <f t="shared" si="33"/>
        <v xml:space="preserve">            Switchboards</v>
      </c>
      <c r="E137" s="39" t="s">
        <v>35</v>
      </c>
      <c r="F137" s="39"/>
      <c r="G137" s="45"/>
      <c r="H137" s="45"/>
      <c r="I137" s="45"/>
      <c r="J137" s="66"/>
      <c r="K137" s="61">
        <f>3894246.37400843/N135</f>
        <v>3404.0615157416346</v>
      </c>
      <c r="L137" s="49" t="s">
        <v>50</v>
      </c>
      <c r="M137" s="45" t="s">
        <v>51</v>
      </c>
      <c r="N137" s="49">
        <v>1144</v>
      </c>
      <c r="O137" s="49" t="s">
        <v>52</v>
      </c>
      <c r="P137" s="45">
        <v>0.6</v>
      </c>
      <c r="Q137" s="66">
        <v>2018</v>
      </c>
      <c r="R137" s="49" t="s">
        <v>86</v>
      </c>
      <c r="S137" s="148"/>
      <c r="T137" s="148"/>
      <c r="U137" s="49"/>
      <c r="V137" s="49"/>
      <c r="W137" s="77" t="s">
        <v>338</v>
      </c>
      <c r="X137" s="80">
        <f t="shared" si="34"/>
        <v>0</v>
      </c>
      <c r="Y137" s="80">
        <f t="shared" si="35"/>
        <v>0</v>
      </c>
      <c r="Z137" s="77"/>
      <c r="AA137" s="79">
        <f t="shared" si="36"/>
        <v>3063.6553641674714</v>
      </c>
      <c r="AB137" s="79">
        <f t="shared" si="37"/>
        <v>4425.2799704641247</v>
      </c>
      <c r="AC137" s="77" t="s">
        <v>44</v>
      </c>
      <c r="AD137" s="79">
        <v>0.1</v>
      </c>
      <c r="AE137" s="79">
        <v>1</v>
      </c>
      <c r="AF137" s="79">
        <v>0</v>
      </c>
      <c r="AG137" s="77" t="s">
        <v>48</v>
      </c>
    </row>
    <row r="138" spans="1:33" ht="15" customHeight="1" x14ac:dyDescent="0.2">
      <c r="A138" s="37">
        <v>244</v>
      </c>
      <c r="B138" s="38">
        <f t="shared" si="32"/>
        <v>2</v>
      </c>
      <c r="C138" s="76" t="s">
        <v>346</v>
      </c>
      <c r="D138" s="39" t="str">
        <f t="shared" si="33"/>
        <v xml:space="preserve">            Protective Equipment</v>
      </c>
      <c r="E138" s="39" t="s">
        <v>35</v>
      </c>
      <c r="F138" s="39"/>
      <c r="G138" s="45"/>
      <c r="H138" s="45"/>
      <c r="I138" s="45"/>
      <c r="J138" s="66"/>
      <c r="K138" s="61">
        <f>11183911.9256997/N135</f>
        <v>9776.1467881990375</v>
      </c>
      <c r="L138" s="49" t="s">
        <v>50</v>
      </c>
      <c r="M138" s="45" t="s">
        <v>51</v>
      </c>
      <c r="N138" s="49">
        <v>1144</v>
      </c>
      <c r="O138" s="49" t="s">
        <v>52</v>
      </c>
      <c r="P138" s="45">
        <v>0.6</v>
      </c>
      <c r="Q138" s="66">
        <v>2018</v>
      </c>
      <c r="R138" s="49" t="s">
        <v>86</v>
      </c>
      <c r="S138" s="148"/>
      <c r="T138" s="148"/>
      <c r="U138" s="49"/>
      <c r="V138" s="49"/>
      <c r="W138" s="77" t="s">
        <v>338</v>
      </c>
      <c r="X138" s="80">
        <f t="shared" si="34"/>
        <v>0</v>
      </c>
      <c r="Y138" s="80">
        <f t="shared" si="35"/>
        <v>0</v>
      </c>
      <c r="Z138" s="77"/>
      <c r="AA138" s="79">
        <f t="shared" si="36"/>
        <v>8798.5321093791335</v>
      </c>
      <c r="AB138" s="79">
        <f t="shared" si="37"/>
        <v>12708.990824658749</v>
      </c>
      <c r="AC138" s="77" t="s">
        <v>44</v>
      </c>
      <c r="AD138" s="79">
        <v>0.1</v>
      </c>
      <c r="AE138" s="79">
        <v>1</v>
      </c>
      <c r="AF138" s="79">
        <v>0</v>
      </c>
      <c r="AG138" s="77" t="s">
        <v>48</v>
      </c>
    </row>
    <row r="139" spans="1:33" ht="15" customHeight="1" x14ac:dyDescent="0.2">
      <c r="A139" s="37">
        <v>245</v>
      </c>
      <c r="B139" s="38">
        <f t="shared" si="32"/>
        <v>2</v>
      </c>
      <c r="C139" s="76" t="s">
        <v>347</v>
      </c>
      <c r="D139" s="39" t="str">
        <f t="shared" si="33"/>
        <v xml:space="preserve">            Electrical Structure &amp; Wiring Container</v>
      </c>
      <c r="E139" s="39" t="s">
        <v>35</v>
      </c>
      <c r="F139" s="39"/>
      <c r="G139" s="45"/>
      <c r="H139" s="45"/>
      <c r="I139" s="45"/>
      <c r="J139" s="66"/>
      <c r="K139" s="61">
        <f>60312483.673456/N135</f>
        <v>52720.70251176224</v>
      </c>
      <c r="L139" s="49" t="s">
        <v>50</v>
      </c>
      <c r="M139" s="45" t="s">
        <v>51</v>
      </c>
      <c r="N139" s="49">
        <v>1144</v>
      </c>
      <c r="O139" s="49" t="s">
        <v>52</v>
      </c>
      <c r="P139" s="45">
        <v>0.6</v>
      </c>
      <c r="Q139" s="66">
        <v>2018</v>
      </c>
      <c r="R139" s="49" t="s">
        <v>86</v>
      </c>
      <c r="S139" s="148"/>
      <c r="T139" s="148"/>
      <c r="U139" s="49"/>
      <c r="V139" s="49"/>
      <c r="W139" s="77" t="s">
        <v>338</v>
      </c>
      <c r="X139" s="80">
        <f t="shared" si="34"/>
        <v>0</v>
      </c>
      <c r="Y139" s="80">
        <f t="shared" si="35"/>
        <v>0</v>
      </c>
      <c r="Z139" s="77"/>
      <c r="AA139" s="79">
        <f t="shared" si="36"/>
        <v>47448.632260586019</v>
      </c>
      <c r="AB139" s="79">
        <f t="shared" si="37"/>
        <v>68536.913265290917</v>
      </c>
      <c r="AC139" s="77" t="s">
        <v>44</v>
      </c>
      <c r="AD139" s="79">
        <v>0.1</v>
      </c>
      <c r="AE139" s="79">
        <v>1</v>
      </c>
      <c r="AF139" s="79">
        <v>0</v>
      </c>
      <c r="AG139" s="77" t="s">
        <v>48</v>
      </c>
    </row>
    <row r="140" spans="1:33" ht="15" customHeight="1" x14ac:dyDescent="0.2">
      <c r="A140" s="37">
        <v>246</v>
      </c>
      <c r="B140" s="38">
        <f t="shared" si="32"/>
        <v>2</v>
      </c>
      <c r="C140" s="76" t="s">
        <v>348</v>
      </c>
      <c r="D140" s="39" t="str">
        <f t="shared" si="33"/>
        <v xml:space="preserve">            Power &amp; Control Wiring</v>
      </c>
      <c r="E140" s="39" t="s">
        <v>35</v>
      </c>
      <c r="F140" s="39"/>
      <c r="G140" s="45"/>
      <c r="H140" s="45"/>
      <c r="I140" s="45"/>
      <c r="J140" s="66"/>
      <c r="K140" s="61">
        <f>45613077.4753702/N135</f>
        <v>39871.571219729194</v>
      </c>
      <c r="L140" s="49" t="s">
        <v>50</v>
      </c>
      <c r="M140" s="45" t="s">
        <v>51</v>
      </c>
      <c r="N140" s="49">
        <v>1144</v>
      </c>
      <c r="O140" s="49" t="s">
        <v>52</v>
      </c>
      <c r="P140" s="45">
        <v>0.6</v>
      </c>
      <c r="Q140" s="66">
        <v>2018</v>
      </c>
      <c r="R140" s="49" t="s">
        <v>86</v>
      </c>
      <c r="S140" s="149"/>
      <c r="T140" s="149"/>
      <c r="U140" s="49"/>
      <c r="V140" s="49"/>
      <c r="W140" s="77" t="s">
        <v>338</v>
      </c>
      <c r="X140" s="80">
        <f t="shared" si="34"/>
        <v>0</v>
      </c>
      <c r="Y140" s="80">
        <f t="shared" si="35"/>
        <v>0</v>
      </c>
      <c r="Z140" s="77"/>
      <c r="AA140" s="79">
        <f t="shared" si="36"/>
        <v>35884.414097756278</v>
      </c>
      <c r="AB140" s="79">
        <f t="shared" si="37"/>
        <v>51833.042585647956</v>
      </c>
      <c r="AC140" s="77" t="s">
        <v>44</v>
      </c>
      <c r="AD140" s="79">
        <v>0.1</v>
      </c>
      <c r="AE140" s="79">
        <v>1</v>
      </c>
      <c r="AF140" s="79">
        <v>0</v>
      </c>
      <c r="AG140" s="77" t="s">
        <v>48</v>
      </c>
    </row>
    <row r="141" spans="1:33" ht="15" customHeight="1" x14ac:dyDescent="0.2">
      <c r="A141" s="37">
        <v>25</v>
      </c>
      <c r="B141" s="38">
        <f t="shared" si="32"/>
        <v>1</v>
      </c>
      <c r="C141" s="56" t="s">
        <v>349</v>
      </c>
      <c r="D141" s="39" t="str">
        <f t="shared" si="33"/>
        <v xml:space="preserve">      Initial Fuel Inventory</v>
      </c>
      <c r="E141" s="39"/>
      <c r="F141" s="39"/>
      <c r="G141" s="45"/>
      <c r="H141" s="45"/>
      <c r="I141" s="45"/>
      <c r="J141" s="66"/>
      <c r="K141" s="61"/>
      <c r="L141" s="49"/>
      <c r="M141" s="59"/>
      <c r="N141" s="49"/>
      <c r="O141" s="49"/>
      <c r="P141" s="49"/>
      <c r="Q141" s="66"/>
      <c r="R141" s="49"/>
      <c r="S141" s="59"/>
      <c r="T141" s="49"/>
      <c r="U141" s="49"/>
      <c r="V141" s="49"/>
      <c r="W141" s="77"/>
      <c r="X141" s="80"/>
      <c r="Y141" s="80"/>
      <c r="Z141" s="77"/>
      <c r="AA141" s="79"/>
      <c r="AB141" s="79"/>
      <c r="AC141" s="77"/>
      <c r="AD141" s="79"/>
      <c r="AE141" s="79"/>
      <c r="AF141" s="79"/>
      <c r="AG141" s="77"/>
    </row>
    <row r="142" spans="1:33" ht="16.25" customHeight="1" x14ac:dyDescent="0.2">
      <c r="A142" s="53">
        <v>251</v>
      </c>
      <c r="B142" s="38">
        <f t="shared" si="32"/>
        <v>2</v>
      </c>
      <c r="C142" s="56" t="s">
        <v>350</v>
      </c>
      <c r="D142" s="39" t="str">
        <f t="shared" si="33"/>
        <v xml:space="preserve">            First Core Mining</v>
      </c>
      <c r="E142" s="39" t="s">
        <v>35</v>
      </c>
      <c r="F142" s="39"/>
      <c r="G142" s="45"/>
      <c r="H142" s="45"/>
      <c r="I142" s="45"/>
      <c r="J142" s="66"/>
      <c r="K142" s="66">
        <v>184</v>
      </c>
      <c r="L142" s="49" t="s">
        <v>186</v>
      </c>
      <c r="M142" s="45" t="s">
        <v>351</v>
      </c>
      <c r="N142" s="49"/>
      <c r="O142" s="49"/>
      <c r="P142" s="49"/>
      <c r="Q142" s="66">
        <v>2022</v>
      </c>
      <c r="R142" s="49" t="s">
        <v>219</v>
      </c>
      <c r="S142" s="150" t="s">
        <v>352</v>
      </c>
      <c r="T142" s="150" t="s">
        <v>353</v>
      </c>
      <c r="U142" s="49"/>
      <c r="V142" s="49"/>
      <c r="W142" s="77" t="s">
        <v>43</v>
      </c>
      <c r="X142" s="80">
        <f t="shared" ref="X142:X148" si="38">0.9*$J142</f>
        <v>0</v>
      </c>
      <c r="Y142" s="80">
        <f t="shared" ref="Y142:Y148" si="39">1.5*J142</f>
        <v>0</v>
      </c>
      <c r="Z142" s="77" t="s">
        <v>44</v>
      </c>
      <c r="AA142" s="79">
        <f t="shared" ref="AA142:AA148" si="40">0.9*K142</f>
        <v>165.6</v>
      </c>
      <c r="AB142" s="79">
        <f t="shared" ref="AB142:AB148" si="41">1.3*K142</f>
        <v>239.20000000000002</v>
      </c>
      <c r="AC142" s="77" t="s">
        <v>44</v>
      </c>
      <c r="AD142" s="79" t="s">
        <v>45</v>
      </c>
      <c r="AE142" s="79" t="s">
        <v>46</v>
      </c>
      <c r="AF142" s="79" t="s">
        <v>47</v>
      </c>
      <c r="AG142" s="77" t="s">
        <v>48</v>
      </c>
    </row>
    <row r="143" spans="1:33" ht="15" customHeight="1" x14ac:dyDescent="0.2">
      <c r="A143" s="53">
        <v>252</v>
      </c>
      <c r="B143" s="38">
        <f t="shared" si="32"/>
        <v>2</v>
      </c>
      <c r="C143" s="56" t="s">
        <v>354</v>
      </c>
      <c r="D143" s="39" t="str">
        <f t="shared" si="33"/>
        <v xml:space="preserve">            First Core Conversion </v>
      </c>
      <c r="E143" s="39" t="s">
        <v>35</v>
      </c>
      <c r="F143" s="39"/>
      <c r="G143" s="45"/>
      <c r="H143" s="45"/>
      <c r="I143" s="45"/>
      <c r="J143" s="66"/>
      <c r="K143" s="66">
        <v>15.1</v>
      </c>
      <c r="L143" s="49" t="s">
        <v>186</v>
      </c>
      <c r="M143" s="45" t="s">
        <v>351</v>
      </c>
      <c r="N143" s="49"/>
      <c r="O143" s="49"/>
      <c r="P143" s="49"/>
      <c r="Q143" s="66">
        <v>2022</v>
      </c>
      <c r="R143" s="49" t="s">
        <v>219</v>
      </c>
      <c r="S143" s="148"/>
      <c r="T143" s="148"/>
      <c r="U143" s="49"/>
      <c r="V143" s="49"/>
      <c r="W143" s="77" t="s">
        <v>43</v>
      </c>
      <c r="X143" s="80">
        <f t="shared" si="38"/>
        <v>0</v>
      </c>
      <c r="Y143" s="80">
        <f t="shared" si="39"/>
        <v>0</v>
      </c>
      <c r="Z143" s="77" t="s">
        <v>44</v>
      </c>
      <c r="AA143" s="79">
        <f t="shared" si="40"/>
        <v>13.59</v>
      </c>
      <c r="AB143" s="79">
        <f t="shared" si="41"/>
        <v>19.63</v>
      </c>
      <c r="AC143" s="77" t="s">
        <v>44</v>
      </c>
      <c r="AD143" s="79" t="s">
        <v>45</v>
      </c>
      <c r="AE143" s="79" t="s">
        <v>46</v>
      </c>
      <c r="AF143" s="79" t="s">
        <v>47</v>
      </c>
      <c r="AG143" s="77" t="s">
        <v>48</v>
      </c>
    </row>
    <row r="144" spans="1:33" ht="15" customHeight="1" x14ac:dyDescent="0.2">
      <c r="A144" s="53">
        <v>253</v>
      </c>
      <c r="B144" s="38">
        <f t="shared" si="32"/>
        <v>2</v>
      </c>
      <c r="C144" s="56" t="s">
        <v>355</v>
      </c>
      <c r="D144" s="39" t="str">
        <f t="shared" si="33"/>
        <v xml:space="preserve">            First Core Enrichment </v>
      </c>
      <c r="E144" s="39" t="s">
        <v>266</v>
      </c>
      <c r="F144" s="39"/>
      <c r="G144" s="45"/>
      <c r="H144" s="45"/>
      <c r="I144" s="45"/>
      <c r="J144" s="66"/>
      <c r="K144" s="66">
        <v>184.2</v>
      </c>
      <c r="L144" s="49" t="s">
        <v>356</v>
      </c>
      <c r="M144" s="59" t="s">
        <v>357</v>
      </c>
      <c r="N144" s="49"/>
      <c r="O144" s="49"/>
      <c r="P144" s="49">
        <v>1</v>
      </c>
      <c r="Q144" s="66">
        <v>2022</v>
      </c>
      <c r="R144" s="49" t="s">
        <v>219</v>
      </c>
      <c r="S144" s="148"/>
      <c r="T144" s="148"/>
      <c r="U144" s="49"/>
      <c r="V144" s="49"/>
      <c r="W144" s="77" t="s">
        <v>43</v>
      </c>
      <c r="X144" s="80">
        <f t="shared" si="38"/>
        <v>0</v>
      </c>
      <c r="Y144" s="80">
        <f t="shared" si="39"/>
        <v>0</v>
      </c>
      <c r="Z144" s="77" t="s">
        <v>44</v>
      </c>
      <c r="AA144" s="79">
        <f t="shared" si="40"/>
        <v>165.78</v>
      </c>
      <c r="AB144" s="79">
        <f t="shared" si="41"/>
        <v>239.45999999999998</v>
      </c>
      <c r="AC144" s="77" t="s">
        <v>44</v>
      </c>
      <c r="AD144" s="79" t="s">
        <v>45</v>
      </c>
      <c r="AE144" s="79" t="s">
        <v>46</v>
      </c>
      <c r="AF144" s="79" t="s">
        <v>47</v>
      </c>
      <c r="AG144" s="77" t="s">
        <v>48</v>
      </c>
    </row>
    <row r="145" spans="1:33" ht="15" customHeight="1" x14ac:dyDescent="0.2">
      <c r="A145" s="53">
        <v>254</v>
      </c>
      <c r="B145" s="38">
        <f t="shared" si="32"/>
        <v>2</v>
      </c>
      <c r="C145" s="56" t="s">
        <v>358</v>
      </c>
      <c r="D145" s="39" t="str">
        <f t="shared" si="33"/>
        <v xml:space="preserve">            First Core Fuel Assembly Fabrication </v>
      </c>
      <c r="E145" s="39" t="s">
        <v>35</v>
      </c>
      <c r="F145" s="39" t="s">
        <v>359</v>
      </c>
      <c r="G145" s="45" t="s">
        <v>360</v>
      </c>
      <c r="H145" s="45" t="s">
        <v>361</v>
      </c>
      <c r="I145" s="45" t="s">
        <v>362</v>
      </c>
      <c r="J145" s="66"/>
      <c r="K145" s="66">
        <v>1520</v>
      </c>
      <c r="L145" s="49" t="s">
        <v>186</v>
      </c>
      <c r="M145" s="59" t="s">
        <v>363</v>
      </c>
      <c r="N145" s="49"/>
      <c r="O145" s="49"/>
      <c r="P145" s="49"/>
      <c r="Q145" s="66">
        <v>2023</v>
      </c>
      <c r="R145" s="49" t="s">
        <v>219</v>
      </c>
      <c r="S145" s="148"/>
      <c r="T145" s="148"/>
      <c r="U145" s="49"/>
      <c r="V145" s="49"/>
      <c r="W145" s="77" t="s">
        <v>157</v>
      </c>
      <c r="X145" s="80">
        <f t="shared" si="38"/>
        <v>0</v>
      </c>
      <c r="Y145" s="80">
        <f t="shared" si="39"/>
        <v>0</v>
      </c>
      <c r="Z145" s="77" t="s">
        <v>44</v>
      </c>
      <c r="AA145" s="79">
        <f t="shared" si="40"/>
        <v>1368</v>
      </c>
      <c r="AB145" s="79">
        <f t="shared" si="41"/>
        <v>1976</v>
      </c>
      <c r="AC145" s="77" t="s">
        <v>44</v>
      </c>
      <c r="AD145" s="79" t="s">
        <v>45</v>
      </c>
      <c r="AE145" s="79" t="s">
        <v>46</v>
      </c>
      <c r="AF145" s="79" t="s">
        <v>47</v>
      </c>
      <c r="AG145" s="77" t="s">
        <v>48</v>
      </c>
    </row>
    <row r="146" spans="1:33" ht="15" customHeight="1" x14ac:dyDescent="0.2">
      <c r="A146" s="53">
        <v>254</v>
      </c>
      <c r="B146" s="38">
        <f>IF(ISNUMBER(A146),
    IF(AND(A146=INT(A146), MOD(A146, 10) = 0), 0,
        IF(AND(A146=INT(A146), LEN(A146)=2), 1,
            IF(AND(A146=INT(A146), LEN(A146)=3), 2,
                LEN(A146) - FIND(".", A146) + 2)
        )
    ),
"")</f>
        <v>2</v>
      </c>
      <c r="C146" s="56" t="s">
        <v>358</v>
      </c>
      <c r="D146" s="39" t="str">
        <f t="shared" si="33"/>
        <v xml:space="preserve">            First Core Fuel Assembly Fabrication </v>
      </c>
      <c r="E146" s="39" t="s">
        <v>35</v>
      </c>
      <c r="F146" s="39" t="s">
        <v>359</v>
      </c>
      <c r="G146" s="45" t="s">
        <v>360</v>
      </c>
      <c r="H146" s="45" t="s">
        <v>361</v>
      </c>
      <c r="I146" s="45" t="s">
        <v>364</v>
      </c>
      <c r="J146" s="66"/>
      <c r="K146" s="66">
        <v>250</v>
      </c>
      <c r="L146" s="49" t="s">
        <v>186</v>
      </c>
      <c r="M146" s="59" t="s">
        <v>363</v>
      </c>
      <c r="N146" s="49"/>
      <c r="O146" s="49"/>
      <c r="P146" s="49"/>
      <c r="Q146" s="66">
        <v>2023</v>
      </c>
      <c r="R146" s="49" t="s">
        <v>219</v>
      </c>
      <c r="S146" s="148"/>
      <c r="T146" s="148"/>
      <c r="U146" s="49"/>
      <c r="V146" s="49"/>
      <c r="W146" s="77" t="s">
        <v>157</v>
      </c>
      <c r="X146" s="80">
        <f t="shared" si="38"/>
        <v>0</v>
      </c>
      <c r="Y146" s="80">
        <f t="shared" si="39"/>
        <v>0</v>
      </c>
      <c r="Z146" s="77" t="s">
        <v>44</v>
      </c>
      <c r="AA146" s="79">
        <f t="shared" si="40"/>
        <v>225</v>
      </c>
      <c r="AB146" s="79">
        <f t="shared" si="41"/>
        <v>325</v>
      </c>
      <c r="AC146" s="77" t="s">
        <v>44</v>
      </c>
      <c r="AD146" s="79" t="s">
        <v>45</v>
      </c>
      <c r="AE146" s="79" t="s">
        <v>46</v>
      </c>
      <c r="AF146" s="79" t="s">
        <v>47</v>
      </c>
      <c r="AG146" s="77" t="s">
        <v>48</v>
      </c>
    </row>
    <row r="147" spans="1:33" ht="15" customHeight="1" x14ac:dyDescent="0.2">
      <c r="A147" s="53">
        <v>254</v>
      </c>
      <c r="B147" s="38">
        <f>IF(ISNUMBER(A147),
    IF(AND(A147=INT(A147), MOD(A147, 10) = 0), 0,
        IF(AND(A147=INT(A147), LEN(A147)=2), 1,
            IF(AND(A147=INT(A147), LEN(A147)=3), 2,
                LEN(A147) - FIND(".", A147) + 2)
        )
    ),
"")</f>
        <v>2</v>
      </c>
      <c r="C147" s="56" t="s">
        <v>358</v>
      </c>
      <c r="D147" s="39" t="str">
        <f t="shared" si="33"/>
        <v xml:space="preserve">            First Core Fuel Assembly Fabrication </v>
      </c>
      <c r="E147" s="39" t="s">
        <v>35</v>
      </c>
      <c r="F147" s="39" t="s">
        <v>359</v>
      </c>
      <c r="G147" s="45" t="s">
        <v>267</v>
      </c>
      <c r="H147" s="45"/>
      <c r="I147" s="45"/>
      <c r="J147" s="66"/>
      <c r="K147" s="66">
        <v>10000</v>
      </c>
      <c r="L147" s="49" t="s">
        <v>186</v>
      </c>
      <c r="M147" s="59" t="s">
        <v>363</v>
      </c>
      <c r="N147" s="49"/>
      <c r="O147" s="49"/>
      <c r="P147" s="49"/>
      <c r="Q147" s="66">
        <v>2009</v>
      </c>
      <c r="R147" s="49" t="s">
        <v>219</v>
      </c>
      <c r="S147" s="149"/>
      <c r="T147" s="149"/>
      <c r="U147" s="49"/>
      <c r="V147" s="49"/>
      <c r="W147" s="77" t="s">
        <v>157</v>
      </c>
      <c r="X147" s="80">
        <f t="shared" si="38"/>
        <v>0</v>
      </c>
      <c r="Y147" s="80">
        <f t="shared" si="39"/>
        <v>0</v>
      </c>
      <c r="Z147" s="77" t="s">
        <v>44</v>
      </c>
      <c r="AA147" s="79">
        <f t="shared" si="40"/>
        <v>9000</v>
      </c>
      <c r="AB147" s="79">
        <f t="shared" si="41"/>
        <v>13000</v>
      </c>
      <c r="AC147" s="77" t="s">
        <v>44</v>
      </c>
      <c r="AD147" s="79" t="s">
        <v>45</v>
      </c>
      <c r="AE147" s="79" t="s">
        <v>46</v>
      </c>
      <c r="AF147" s="79" t="s">
        <v>47</v>
      </c>
      <c r="AG147" s="77" t="s">
        <v>48</v>
      </c>
    </row>
    <row r="148" spans="1:33" ht="30" customHeight="1" x14ac:dyDescent="0.2">
      <c r="A148" s="37">
        <v>26</v>
      </c>
      <c r="B148" s="38">
        <f>IF(ISNUMBER(A148),
IF(AND(A148=INT(A148), MOD(A148, 10) = 0), 0,
IF(AND(A148=INT(A148), LEN(A148)=2), 1,
IF(AND(A148=INT(A148), LEN(A148)=3), 2,
LEN(A148) - FIND(".", A148) + 2)
)
),
"")</f>
        <v>1</v>
      </c>
      <c r="C148" s="56" t="s">
        <v>365</v>
      </c>
      <c r="D148" s="39" t="str">
        <f t="shared" si="33"/>
        <v xml:space="preserve">      Miscellaneous Equipment (Cranes)</v>
      </c>
      <c r="E148" s="39" t="s">
        <v>35</v>
      </c>
      <c r="F148" s="39"/>
      <c r="G148" s="39"/>
      <c r="H148" s="39"/>
      <c r="I148" s="39"/>
      <c r="J148" s="61">
        <v>1000000</v>
      </c>
      <c r="K148" s="66"/>
      <c r="L148" s="49"/>
      <c r="M148" s="59"/>
      <c r="N148" s="49"/>
      <c r="O148" s="49"/>
      <c r="P148" s="49"/>
      <c r="Q148" s="66">
        <v>2021</v>
      </c>
      <c r="R148" s="49" t="s">
        <v>153</v>
      </c>
      <c r="S148" s="59" t="s">
        <v>366</v>
      </c>
      <c r="T148" s="59" t="s">
        <v>367</v>
      </c>
      <c r="U148" s="49"/>
      <c r="V148" s="49"/>
      <c r="W148" s="77" t="s">
        <v>157</v>
      </c>
      <c r="X148" s="80">
        <f t="shared" si="38"/>
        <v>900000</v>
      </c>
      <c r="Y148" s="80">
        <f t="shared" si="39"/>
        <v>1500000</v>
      </c>
      <c r="Z148" s="77" t="s">
        <v>44</v>
      </c>
      <c r="AA148" s="79">
        <f t="shared" si="40"/>
        <v>0</v>
      </c>
      <c r="AB148" s="79">
        <f t="shared" si="41"/>
        <v>0</v>
      </c>
      <c r="AC148" s="77" t="s">
        <v>44</v>
      </c>
      <c r="AD148" s="79" t="s">
        <v>45</v>
      </c>
      <c r="AE148" s="79" t="s">
        <v>46</v>
      </c>
      <c r="AF148" s="79" t="s">
        <v>47</v>
      </c>
      <c r="AG148" s="77" t="s">
        <v>48</v>
      </c>
    </row>
    <row r="149" spans="1:33" ht="15" customHeight="1" x14ac:dyDescent="0.2">
      <c r="A149" s="50">
        <v>30</v>
      </c>
      <c r="B149" s="38">
        <f>IF(ISNUMBER(A149),
    IF(AND(A149=INT(A149), MOD(A149, 10) = 0), 0,
        IF(AND(A149=INT(A149), LEN(A149)=2), 1,
            IF(AND(A149=INT(A149), LEN(A149)=3), 2,
                LEN(A149) - FIND(".", A149) + 2)
        )
    ),
"")</f>
        <v>0</v>
      </c>
      <c r="C149" s="56" t="s">
        <v>368</v>
      </c>
      <c r="D149" s="39" t="str">
        <f t="shared" si="33"/>
        <v>Capitalized Indirect Services Cost</v>
      </c>
      <c r="E149" s="39"/>
      <c r="F149" s="39"/>
      <c r="G149" s="39"/>
      <c r="H149" s="39"/>
      <c r="I149" s="39"/>
      <c r="J149" s="68"/>
      <c r="K149" s="51"/>
      <c r="L149" s="50"/>
      <c r="M149" s="50"/>
      <c r="N149" s="50"/>
      <c r="O149" s="50"/>
      <c r="P149" s="50"/>
      <c r="Q149" s="68"/>
      <c r="R149" s="50"/>
      <c r="S149" s="50"/>
      <c r="T149" s="50"/>
      <c r="U149" s="50"/>
      <c r="V149" s="50"/>
      <c r="W149" s="77"/>
      <c r="X149" s="80"/>
      <c r="Y149" s="80"/>
      <c r="Z149" s="77"/>
      <c r="AA149" s="79"/>
      <c r="AB149" s="79"/>
      <c r="AC149" s="77"/>
      <c r="AD149" s="79"/>
      <c r="AE149" s="79"/>
      <c r="AF149" s="79"/>
      <c r="AG149" s="77"/>
    </row>
    <row r="150" spans="1:33" ht="29" customHeight="1" x14ac:dyDescent="0.2">
      <c r="A150" s="50">
        <v>31</v>
      </c>
      <c r="B150" s="38">
        <v>1</v>
      </c>
      <c r="C150" s="56" t="s">
        <v>369</v>
      </c>
      <c r="D150" s="39" t="str">
        <f t="shared" si="33"/>
        <v xml:space="preserve">      Factory &amp; field indirect costs</v>
      </c>
      <c r="E150" s="39"/>
      <c r="F150" s="39"/>
      <c r="G150" s="39"/>
      <c r="H150" s="39"/>
      <c r="I150" s="39"/>
      <c r="J150" s="68"/>
      <c r="K150" s="69"/>
      <c r="L150" s="49"/>
      <c r="M150" s="59"/>
      <c r="N150" s="50"/>
      <c r="O150" s="50"/>
      <c r="P150" s="50"/>
      <c r="Q150" s="66"/>
      <c r="R150" s="49"/>
      <c r="S150" s="50"/>
      <c r="T150" s="50"/>
      <c r="U150" s="50"/>
      <c r="V150" s="50"/>
      <c r="W150" s="77"/>
      <c r="X150" s="80"/>
      <c r="Y150" s="80"/>
      <c r="Z150" s="77"/>
      <c r="AA150" s="79"/>
      <c r="AB150" s="79"/>
      <c r="AC150" s="77"/>
      <c r="AD150" s="79"/>
      <c r="AE150" s="79"/>
      <c r="AF150" s="79"/>
      <c r="AG150" s="77"/>
    </row>
    <row r="151" spans="1:33" ht="15" customHeight="1" x14ac:dyDescent="0.2">
      <c r="A151" s="50">
        <v>32</v>
      </c>
      <c r="B151" s="38">
        <v>1</v>
      </c>
      <c r="C151" s="56" t="s">
        <v>370</v>
      </c>
      <c r="D151" s="39" t="str">
        <f t="shared" si="33"/>
        <v xml:space="preserve">      Factory and construction supervision</v>
      </c>
      <c r="E151" s="39"/>
      <c r="F151" s="39"/>
      <c r="G151" s="39"/>
      <c r="H151" s="39"/>
      <c r="I151" s="39"/>
      <c r="J151" s="68"/>
      <c r="K151" s="51"/>
      <c r="L151" s="50"/>
      <c r="M151" s="50"/>
      <c r="N151" s="50"/>
      <c r="O151" s="50"/>
      <c r="P151" s="50"/>
      <c r="Q151" s="66"/>
      <c r="R151" s="49"/>
      <c r="S151" s="50"/>
      <c r="T151" s="50"/>
      <c r="U151" s="50"/>
      <c r="V151" s="50"/>
      <c r="W151" s="77"/>
      <c r="X151" s="80"/>
      <c r="Y151" s="80"/>
      <c r="Z151" s="77"/>
      <c r="AA151" s="79"/>
      <c r="AB151" s="79"/>
      <c r="AC151" s="77"/>
      <c r="AD151" s="79"/>
      <c r="AE151" s="79"/>
      <c r="AF151" s="79"/>
      <c r="AG151" s="77"/>
    </row>
    <row r="152" spans="1:33" ht="15" customHeight="1" x14ac:dyDescent="0.2">
      <c r="A152" s="37">
        <v>33</v>
      </c>
      <c r="B152" s="38">
        <f t="shared" ref="B152:B166" si="42">IF(ISNUMBER(A152),
IF(AND(A152=INT(A152), MOD(A152, 10) = 0), 0,
IF(AND(A152=INT(A152), LEN(A152)=2), 1,
IF(AND(A152=INT(A152), LEN(A152)=3), 2,
LEN(A152) - FIND(".", A152) + 2)
)
),
"")</f>
        <v>1</v>
      </c>
      <c r="C152" s="56" t="s">
        <v>371</v>
      </c>
      <c r="D152" s="39" t="str">
        <f t="shared" si="33"/>
        <v xml:space="preserve">      Startup Costs</v>
      </c>
      <c r="E152" s="39" t="s">
        <v>35</v>
      </c>
      <c r="F152" s="39"/>
      <c r="G152" s="39"/>
      <c r="H152" s="39"/>
      <c r="I152" s="39"/>
      <c r="J152" s="43">
        <f>MARVEL_Cost!C58</f>
        <v>2407166.4</v>
      </c>
      <c r="K152" s="44"/>
      <c r="L152" s="46"/>
      <c r="M152" s="52"/>
      <c r="N152" s="46"/>
      <c r="O152" s="46"/>
      <c r="P152" s="46"/>
      <c r="Q152" s="66">
        <v>2024</v>
      </c>
      <c r="R152" s="70" t="s">
        <v>73</v>
      </c>
      <c r="S152" s="147" t="s">
        <v>318</v>
      </c>
      <c r="T152" s="46"/>
      <c r="U152" s="46"/>
      <c r="V152" s="46"/>
      <c r="W152" s="77" t="s">
        <v>77</v>
      </c>
      <c r="X152" s="80">
        <f>0.9*$J152</f>
        <v>2166449.7599999998</v>
      </c>
      <c r="Y152" s="80">
        <f>1.5*J152</f>
        <v>3610749.5999999996</v>
      </c>
      <c r="Z152" s="77" t="s">
        <v>44</v>
      </c>
      <c r="AA152" s="79">
        <f>0.9*K152</f>
        <v>0</v>
      </c>
      <c r="AB152" s="79">
        <f>1.3*K152</f>
        <v>0</v>
      </c>
      <c r="AC152" s="77" t="s">
        <v>44</v>
      </c>
      <c r="AD152" s="79" t="s">
        <v>45</v>
      </c>
      <c r="AE152" s="79" t="s">
        <v>46</v>
      </c>
      <c r="AF152" s="79" t="s">
        <v>47</v>
      </c>
      <c r="AG152" s="77" t="s">
        <v>48</v>
      </c>
    </row>
    <row r="153" spans="1:33" ht="30" customHeight="1" x14ac:dyDescent="0.2">
      <c r="A153" s="37">
        <v>34</v>
      </c>
      <c r="B153" s="38">
        <f t="shared" si="42"/>
        <v>1</v>
      </c>
      <c r="C153" s="56" t="s">
        <v>372</v>
      </c>
      <c r="D153" s="39" t="str">
        <f t="shared" si="33"/>
        <v xml:space="preserve">      Shipping and Transportation Costs</v>
      </c>
      <c r="E153" s="39" t="s">
        <v>35</v>
      </c>
      <c r="F153" s="39"/>
      <c r="G153" s="39"/>
      <c r="H153" s="39"/>
      <c r="I153" s="39"/>
      <c r="J153" s="43">
        <f>0.5*MARVEL_Cost!C62</f>
        <v>832641.4</v>
      </c>
      <c r="K153" s="44"/>
      <c r="L153" s="46"/>
      <c r="M153" s="52"/>
      <c r="N153" s="46"/>
      <c r="O153" s="46"/>
      <c r="P153" s="46"/>
      <c r="Q153" s="66">
        <v>2024</v>
      </c>
      <c r="R153" s="70" t="s">
        <v>73</v>
      </c>
      <c r="S153" s="148"/>
      <c r="T153" s="46"/>
      <c r="U153" s="46"/>
      <c r="V153" s="46"/>
      <c r="W153" s="77" t="s">
        <v>77</v>
      </c>
      <c r="X153" s="80">
        <f>0.9*$J153</f>
        <v>749377.26</v>
      </c>
      <c r="Y153" s="80">
        <f>1.5*J153</f>
        <v>1248962.1000000001</v>
      </c>
      <c r="Z153" s="77" t="s">
        <v>44</v>
      </c>
      <c r="AA153" s="79">
        <f>0.9*K153</f>
        <v>0</v>
      </c>
      <c r="AB153" s="79">
        <f>1.3*K153</f>
        <v>0</v>
      </c>
      <c r="AC153" s="77" t="s">
        <v>44</v>
      </c>
      <c r="AD153" s="79" t="s">
        <v>45</v>
      </c>
      <c r="AE153" s="79" t="s">
        <v>46</v>
      </c>
      <c r="AF153" s="79" t="s">
        <v>47</v>
      </c>
      <c r="AG153" s="77" t="s">
        <v>48</v>
      </c>
    </row>
    <row r="154" spans="1:33" ht="15" customHeight="1" x14ac:dyDescent="0.2">
      <c r="A154" s="37">
        <v>35</v>
      </c>
      <c r="B154" s="38">
        <f t="shared" si="42"/>
        <v>1</v>
      </c>
      <c r="C154" s="56" t="s">
        <v>373</v>
      </c>
      <c r="D154" s="39" t="str">
        <f t="shared" si="33"/>
        <v xml:space="preserve">      Engineering Services</v>
      </c>
      <c r="E154" s="39" t="s">
        <v>35</v>
      </c>
      <c r="F154" s="39"/>
      <c r="G154" s="39"/>
      <c r="H154" s="39"/>
      <c r="I154" s="39"/>
      <c r="J154" s="43">
        <f>MARVEL_Cost!C65</f>
        <v>620313.58773783164</v>
      </c>
      <c r="K154" s="61"/>
      <c r="L154" s="49"/>
      <c r="M154" s="59"/>
      <c r="N154" s="49"/>
      <c r="O154" s="49"/>
      <c r="P154" s="49"/>
      <c r="Q154" s="66">
        <v>2024</v>
      </c>
      <c r="R154" s="49" t="s">
        <v>53</v>
      </c>
      <c r="S154" s="148"/>
      <c r="T154" s="49"/>
      <c r="U154" s="49"/>
      <c r="V154" s="49"/>
      <c r="W154" s="77" t="s">
        <v>77</v>
      </c>
      <c r="X154" s="80">
        <f>0.9*$J154</f>
        <v>558282.22896404844</v>
      </c>
      <c r="Y154" s="80">
        <f>1.5*J154</f>
        <v>930470.3816067474</v>
      </c>
      <c r="Z154" s="77" t="s">
        <v>44</v>
      </c>
      <c r="AA154" s="79">
        <f>0.9*K154</f>
        <v>0</v>
      </c>
      <c r="AB154" s="79">
        <f>1.3*K154</f>
        <v>0</v>
      </c>
      <c r="AC154" s="77" t="s">
        <v>44</v>
      </c>
      <c r="AD154" s="79" t="s">
        <v>45</v>
      </c>
      <c r="AE154" s="79" t="s">
        <v>46</v>
      </c>
      <c r="AF154" s="79" t="s">
        <v>47</v>
      </c>
      <c r="AG154" s="77" t="s">
        <v>48</v>
      </c>
    </row>
    <row r="155" spans="1:33" ht="15" customHeight="1" x14ac:dyDescent="0.2">
      <c r="A155" s="37">
        <v>36</v>
      </c>
      <c r="B155" s="38">
        <f t="shared" si="42"/>
        <v>1</v>
      </c>
      <c r="C155" s="56" t="s">
        <v>374</v>
      </c>
      <c r="D155" s="39" t="str">
        <f t="shared" si="33"/>
        <v xml:space="preserve">      PM/CM Services</v>
      </c>
      <c r="E155" s="39" t="s">
        <v>35</v>
      </c>
      <c r="F155" s="39"/>
      <c r="G155" s="39"/>
      <c r="H155" s="39"/>
      <c r="I155" s="39"/>
      <c r="J155" s="43">
        <f>MARVEL_Cost!C68</f>
        <v>416958.9359999997</v>
      </c>
      <c r="K155" s="61"/>
      <c r="L155" s="49"/>
      <c r="M155" s="59"/>
      <c r="N155" s="49"/>
      <c r="O155" s="49"/>
      <c r="P155" s="49"/>
      <c r="Q155" s="66">
        <v>2024</v>
      </c>
      <c r="R155" s="49" t="s">
        <v>53</v>
      </c>
      <c r="S155" s="149"/>
      <c r="T155" s="49"/>
      <c r="U155" s="49"/>
      <c r="V155" s="49"/>
      <c r="W155" s="77" t="s">
        <v>77</v>
      </c>
      <c r="X155" s="80">
        <f>0.9*$J155</f>
        <v>375263.04239999974</v>
      </c>
      <c r="Y155" s="80">
        <f>1.5*J155</f>
        <v>625438.40399999951</v>
      </c>
      <c r="Z155" s="77" t="s">
        <v>44</v>
      </c>
      <c r="AA155" s="79">
        <f>0.9*K155</f>
        <v>0</v>
      </c>
      <c r="AB155" s="79">
        <f>1.3*K155</f>
        <v>0</v>
      </c>
      <c r="AC155" s="77" t="s">
        <v>44</v>
      </c>
      <c r="AD155" s="79" t="s">
        <v>45</v>
      </c>
      <c r="AE155" s="79" t="s">
        <v>46</v>
      </c>
      <c r="AF155" s="79" t="s">
        <v>47</v>
      </c>
      <c r="AG155" s="77" t="s">
        <v>48</v>
      </c>
    </row>
    <row r="156" spans="1:33" ht="15" customHeight="1" x14ac:dyDescent="0.2">
      <c r="A156" s="37">
        <v>40</v>
      </c>
      <c r="B156" s="38">
        <f t="shared" si="42"/>
        <v>0</v>
      </c>
      <c r="C156" s="56" t="s">
        <v>375</v>
      </c>
      <c r="D156" s="39" t="str">
        <f t="shared" si="33"/>
        <v>Capitalized training costs</v>
      </c>
      <c r="E156" s="39"/>
      <c r="F156" s="39"/>
      <c r="G156" s="39"/>
      <c r="H156" s="39"/>
      <c r="I156" s="39"/>
      <c r="J156" s="43"/>
      <c r="K156" s="61"/>
      <c r="L156" s="49"/>
      <c r="M156" s="59"/>
      <c r="N156" s="49"/>
      <c r="O156" s="49"/>
      <c r="P156" s="49"/>
      <c r="Q156" s="66"/>
      <c r="R156" s="49"/>
      <c r="S156" s="50"/>
      <c r="T156" s="49"/>
      <c r="U156" s="49"/>
      <c r="V156" s="49"/>
      <c r="W156" s="77"/>
      <c r="X156" s="80"/>
      <c r="Y156" s="80"/>
      <c r="Z156" s="77"/>
      <c r="AA156" s="79"/>
      <c r="AB156" s="79"/>
      <c r="AC156" s="77"/>
      <c r="AD156" s="79"/>
      <c r="AE156" s="79"/>
      <c r="AF156" s="79"/>
      <c r="AG156" s="77"/>
    </row>
    <row r="157" spans="1:33" ht="15" customHeight="1" x14ac:dyDescent="0.2">
      <c r="A157" s="37">
        <v>41</v>
      </c>
      <c r="B157" s="38">
        <f t="shared" si="42"/>
        <v>1</v>
      </c>
      <c r="C157" s="56" t="s">
        <v>376</v>
      </c>
      <c r="D157" s="39" t="str">
        <f t="shared" si="33"/>
        <v xml:space="preserve">      staff recruitment and training</v>
      </c>
      <c r="E157" s="39" t="s">
        <v>35</v>
      </c>
      <c r="F157" s="39"/>
      <c r="G157" s="39"/>
      <c r="H157" s="39"/>
      <c r="I157" s="39"/>
      <c r="J157" s="43">
        <v>300000</v>
      </c>
      <c r="K157" s="61"/>
      <c r="L157" s="49"/>
      <c r="M157" s="59"/>
      <c r="N157" s="49"/>
      <c r="O157" s="49"/>
      <c r="P157" s="49"/>
      <c r="Q157" s="66">
        <v>2024</v>
      </c>
      <c r="R157" s="49" t="s">
        <v>53</v>
      </c>
      <c r="S157" s="42"/>
      <c r="T157" s="49" t="s">
        <v>377</v>
      </c>
      <c r="U157" s="49" t="s">
        <v>378</v>
      </c>
      <c r="V157" s="49"/>
      <c r="W157" s="77" t="s">
        <v>43</v>
      </c>
      <c r="X157" s="80">
        <f>0.9*$J157</f>
        <v>270000</v>
      </c>
      <c r="Y157" s="80">
        <f>1.5*J157</f>
        <v>450000</v>
      </c>
      <c r="Z157" s="77" t="s">
        <v>44</v>
      </c>
      <c r="AA157" s="79">
        <f>0.9*K157</f>
        <v>0</v>
      </c>
      <c r="AB157" s="79">
        <f>1.3*K157</f>
        <v>0</v>
      </c>
      <c r="AC157" s="77" t="s">
        <v>44</v>
      </c>
      <c r="AD157" s="79" t="s">
        <v>45</v>
      </c>
      <c r="AE157" s="79" t="s">
        <v>46</v>
      </c>
      <c r="AF157" s="79" t="s">
        <v>47</v>
      </c>
      <c r="AG157" s="77" t="s">
        <v>48</v>
      </c>
    </row>
    <row r="158" spans="1:33" ht="15" customHeight="1" x14ac:dyDescent="0.2">
      <c r="A158" s="50">
        <v>60</v>
      </c>
      <c r="B158" s="38">
        <f t="shared" si="42"/>
        <v>0</v>
      </c>
      <c r="C158" s="56" t="s">
        <v>379</v>
      </c>
      <c r="D158" s="39" t="str">
        <f t="shared" si="33"/>
        <v xml:space="preserve">Capitalized Financial Costs </v>
      </c>
      <c r="E158" s="39"/>
      <c r="F158" s="39"/>
      <c r="G158" s="39"/>
      <c r="H158" s="39"/>
      <c r="I158" s="39"/>
      <c r="J158" s="68"/>
      <c r="K158" s="51"/>
      <c r="L158" s="50"/>
      <c r="M158" s="50"/>
      <c r="N158" s="50"/>
      <c r="O158" s="50"/>
      <c r="P158" s="50"/>
      <c r="Q158" s="68"/>
      <c r="R158" s="50"/>
      <c r="S158" s="50"/>
      <c r="T158" s="50"/>
      <c r="U158" s="50"/>
      <c r="V158" s="50"/>
      <c r="W158" s="77"/>
      <c r="X158" s="80"/>
      <c r="Y158" s="80"/>
      <c r="Z158" s="77"/>
      <c r="AA158" s="79"/>
      <c r="AB158" s="79"/>
      <c r="AC158" s="77"/>
      <c r="AD158" s="79"/>
      <c r="AE158" s="79"/>
      <c r="AF158" s="79"/>
      <c r="AG158" s="77"/>
    </row>
    <row r="159" spans="1:33" ht="15" customHeight="1" x14ac:dyDescent="0.2">
      <c r="A159" s="37">
        <v>62</v>
      </c>
      <c r="B159" s="38">
        <f t="shared" si="42"/>
        <v>1</v>
      </c>
      <c r="C159" s="56" t="s">
        <v>380</v>
      </c>
      <c r="D159" s="39" t="str">
        <f t="shared" si="33"/>
        <v xml:space="preserve">      Interest</v>
      </c>
      <c r="E159" s="39"/>
      <c r="F159" s="39"/>
      <c r="G159" s="39"/>
      <c r="H159" s="39"/>
      <c r="I159" s="39"/>
      <c r="J159" s="43"/>
      <c r="K159" s="61"/>
      <c r="L159" s="49"/>
      <c r="M159" s="59"/>
      <c r="N159" s="49"/>
      <c r="O159" s="49"/>
      <c r="P159" s="49"/>
      <c r="Q159" s="66"/>
      <c r="R159" s="49"/>
      <c r="S159" s="59"/>
      <c r="T159" s="49"/>
      <c r="U159" s="49"/>
      <c r="V159" s="49"/>
      <c r="W159" s="77"/>
      <c r="X159" s="80"/>
      <c r="Y159" s="80"/>
      <c r="Z159" s="77"/>
      <c r="AA159" s="79"/>
      <c r="AB159" s="79"/>
      <c r="AC159" s="77"/>
      <c r="AD159" s="79"/>
      <c r="AE159" s="79"/>
      <c r="AF159" s="79"/>
      <c r="AG159" s="77"/>
    </row>
    <row r="160" spans="1:33" ht="15" customHeight="1" x14ac:dyDescent="0.2">
      <c r="A160" s="37">
        <v>70</v>
      </c>
      <c r="B160" s="38">
        <f t="shared" si="42"/>
        <v>0</v>
      </c>
      <c r="C160" s="71" t="s">
        <v>381</v>
      </c>
      <c r="D160" s="39" t="str">
        <f t="shared" si="33"/>
        <v xml:space="preserve">Annualized O&amp;M Cost </v>
      </c>
      <c r="E160" s="39"/>
      <c r="F160" s="39"/>
      <c r="G160" s="39"/>
      <c r="H160" s="39"/>
      <c r="I160" s="39"/>
      <c r="J160" s="40"/>
      <c r="K160" s="40"/>
      <c r="L160" s="38"/>
      <c r="M160" s="41"/>
      <c r="N160" s="38"/>
      <c r="O160" s="38"/>
      <c r="P160" s="38"/>
      <c r="Q160" s="40"/>
      <c r="R160" s="38"/>
      <c r="S160" s="41"/>
      <c r="T160" s="38"/>
      <c r="U160" s="38"/>
      <c r="V160" s="38"/>
      <c r="W160" s="77"/>
      <c r="X160" s="80"/>
      <c r="Y160" s="80"/>
      <c r="Z160" s="77"/>
      <c r="AA160" s="79"/>
      <c r="AB160" s="79"/>
      <c r="AC160" s="77"/>
      <c r="AD160" s="79"/>
      <c r="AE160" s="79"/>
      <c r="AF160" s="79"/>
      <c r="AG160" s="77"/>
    </row>
    <row r="161" spans="1:33" ht="15" customHeight="1" x14ac:dyDescent="0.2">
      <c r="A161" s="37">
        <v>71</v>
      </c>
      <c r="B161" s="38">
        <f t="shared" si="42"/>
        <v>1</v>
      </c>
      <c r="C161" s="56" t="s">
        <v>382</v>
      </c>
      <c r="D161" s="39" t="str">
        <f t="shared" si="33"/>
        <v xml:space="preserve">      O&amp;M Staff</v>
      </c>
      <c r="E161" s="39"/>
      <c r="F161" s="39"/>
      <c r="G161" s="39"/>
      <c r="H161" s="39"/>
      <c r="I161" s="39"/>
      <c r="J161" s="43"/>
      <c r="K161" s="61"/>
      <c r="L161" s="49"/>
      <c r="M161" s="59"/>
      <c r="N161" s="49"/>
      <c r="O161" s="49"/>
      <c r="P161" s="49"/>
      <c r="Q161" s="66"/>
      <c r="R161" s="49"/>
      <c r="S161" s="59"/>
      <c r="T161" s="49"/>
      <c r="U161" s="49"/>
      <c r="V161" s="49"/>
      <c r="W161" s="77"/>
      <c r="X161" s="80"/>
      <c r="Y161" s="80"/>
      <c r="Z161" s="77"/>
      <c r="AA161" s="79"/>
      <c r="AB161" s="79"/>
      <c r="AC161" s="77"/>
      <c r="AD161" s="79"/>
      <c r="AE161" s="79"/>
      <c r="AF161" s="79"/>
      <c r="AG161" s="77"/>
    </row>
    <row r="162" spans="1:33" ht="71" customHeight="1" x14ac:dyDescent="0.2">
      <c r="A162" s="53">
        <v>711</v>
      </c>
      <c r="B162" s="38">
        <f t="shared" si="42"/>
        <v>2</v>
      </c>
      <c r="C162" s="56" t="s">
        <v>383</v>
      </c>
      <c r="D162" s="39" t="str">
        <f t="shared" ref="D162:D181" si="43">REPT("   ", B162*2) &amp; C162</f>
        <v xml:space="preserve">            Operators </v>
      </c>
      <c r="E162" s="39" t="s">
        <v>266</v>
      </c>
      <c r="F162" s="39"/>
      <c r="G162" s="39"/>
      <c r="H162" s="39"/>
      <c r="I162" s="39"/>
      <c r="J162" s="43"/>
      <c r="K162" s="61">
        <v>178500</v>
      </c>
      <c r="L162" s="49" t="s">
        <v>384</v>
      </c>
      <c r="M162" s="59" t="s">
        <v>385</v>
      </c>
      <c r="N162" s="49"/>
      <c r="O162" s="49"/>
      <c r="P162" s="49">
        <v>1</v>
      </c>
      <c r="Q162" s="66">
        <v>2024</v>
      </c>
      <c r="R162" s="49" t="s">
        <v>53</v>
      </c>
      <c r="S162" s="59"/>
      <c r="T162" s="59" t="s">
        <v>386</v>
      </c>
      <c r="U162" s="49"/>
      <c r="V162" s="49"/>
      <c r="W162" s="77" t="s">
        <v>43</v>
      </c>
      <c r="X162" s="80">
        <f>0.9*$J162</f>
        <v>0</v>
      </c>
      <c r="Y162" s="80">
        <f>1.5*J162</f>
        <v>0</v>
      </c>
      <c r="Z162" s="77" t="s">
        <v>44</v>
      </c>
      <c r="AA162" s="79">
        <f>0.9*K162</f>
        <v>160650</v>
      </c>
      <c r="AB162" s="79">
        <f>1.3*K162</f>
        <v>232050</v>
      </c>
      <c r="AC162" s="77" t="s">
        <v>44</v>
      </c>
      <c r="AD162" s="79" t="s">
        <v>45</v>
      </c>
      <c r="AE162" s="79" t="s">
        <v>46</v>
      </c>
      <c r="AF162" s="79" t="s">
        <v>47</v>
      </c>
      <c r="AG162" s="77" t="s">
        <v>48</v>
      </c>
    </row>
    <row r="163" spans="1:33" ht="30" customHeight="1" x14ac:dyDescent="0.2">
      <c r="A163" s="53">
        <v>712</v>
      </c>
      <c r="B163" s="38">
        <f t="shared" si="42"/>
        <v>2</v>
      </c>
      <c r="C163" s="56" t="s">
        <v>387</v>
      </c>
      <c r="D163" s="39" t="str">
        <f t="shared" si="43"/>
        <v xml:space="preserve">            Remote Monitoring Technicians </v>
      </c>
      <c r="E163" s="39" t="s">
        <v>266</v>
      </c>
      <c r="F163" s="39" t="s">
        <v>388</v>
      </c>
      <c r="G163" s="39" t="s">
        <v>389</v>
      </c>
      <c r="H163" s="39"/>
      <c r="I163" s="39"/>
      <c r="J163" s="43"/>
      <c r="K163" s="61">
        <v>178500</v>
      </c>
      <c r="L163" s="49" t="s">
        <v>384</v>
      </c>
      <c r="M163" s="59" t="s">
        <v>390</v>
      </c>
      <c r="N163" s="49"/>
      <c r="O163" s="49"/>
      <c r="P163" s="49">
        <v>1</v>
      </c>
      <c r="Q163" s="66">
        <v>2024</v>
      </c>
      <c r="R163" s="49" t="s">
        <v>53</v>
      </c>
      <c r="S163" s="59"/>
      <c r="T163" s="59" t="s">
        <v>386</v>
      </c>
      <c r="U163" s="49"/>
      <c r="V163" s="49"/>
      <c r="W163" s="77" t="s">
        <v>43</v>
      </c>
      <c r="X163" s="80">
        <f>0.9*$J163</f>
        <v>0</v>
      </c>
      <c r="Y163" s="80">
        <f>1.5*J163</f>
        <v>0</v>
      </c>
      <c r="Z163" s="77" t="s">
        <v>44</v>
      </c>
      <c r="AA163" s="79">
        <f>0.9*K163</f>
        <v>160650</v>
      </c>
      <c r="AB163" s="79">
        <f>1.3*K163</f>
        <v>232050</v>
      </c>
      <c r="AC163" s="77" t="s">
        <v>44</v>
      </c>
      <c r="AD163" s="79" t="s">
        <v>45</v>
      </c>
      <c r="AE163" s="79" t="s">
        <v>46</v>
      </c>
      <c r="AF163" s="79" t="s">
        <v>47</v>
      </c>
      <c r="AG163" s="77" t="s">
        <v>48</v>
      </c>
    </row>
    <row r="164" spans="1:33" ht="85" customHeight="1" x14ac:dyDescent="0.2">
      <c r="A164" s="53">
        <v>713</v>
      </c>
      <c r="B164" s="38">
        <f t="shared" si="42"/>
        <v>2</v>
      </c>
      <c r="C164" s="56" t="s">
        <v>391</v>
      </c>
      <c r="D164" s="39" t="str">
        <f t="shared" si="43"/>
        <v xml:space="preserve">            Security Staff </v>
      </c>
      <c r="E164" s="39" t="s">
        <v>266</v>
      </c>
      <c r="F164" s="39"/>
      <c r="G164" s="39"/>
      <c r="H164" s="39"/>
      <c r="I164" s="39"/>
      <c r="J164" s="43"/>
      <c r="K164" s="61">
        <v>178500</v>
      </c>
      <c r="L164" s="49" t="s">
        <v>384</v>
      </c>
      <c r="M164" s="59" t="s">
        <v>392</v>
      </c>
      <c r="N164" s="49"/>
      <c r="O164" s="49"/>
      <c r="P164" s="49">
        <v>1</v>
      </c>
      <c r="Q164" s="66">
        <v>2024</v>
      </c>
      <c r="R164" s="49" t="s">
        <v>53</v>
      </c>
      <c r="S164" s="59"/>
      <c r="T164" s="59" t="s">
        <v>386</v>
      </c>
      <c r="U164" s="49"/>
      <c r="V164" s="49"/>
      <c r="W164" s="77" t="s">
        <v>43</v>
      </c>
      <c r="X164" s="80">
        <f>0.9*$J164</f>
        <v>0</v>
      </c>
      <c r="Y164" s="80">
        <f>1.5*J164</f>
        <v>0</v>
      </c>
      <c r="Z164" s="77" t="s">
        <v>44</v>
      </c>
      <c r="AA164" s="79">
        <f>0.9*K164</f>
        <v>160650</v>
      </c>
      <c r="AB164" s="79">
        <f>1.3*K164</f>
        <v>232050</v>
      </c>
      <c r="AC164" s="77" t="s">
        <v>44</v>
      </c>
      <c r="AD164" s="79" t="s">
        <v>45</v>
      </c>
      <c r="AE164" s="79" t="s">
        <v>46</v>
      </c>
      <c r="AF164" s="79" t="s">
        <v>47</v>
      </c>
      <c r="AG164" s="77" t="s">
        <v>48</v>
      </c>
    </row>
    <row r="165" spans="1:33" ht="15" customHeight="1" x14ac:dyDescent="0.2">
      <c r="A165" s="37">
        <v>72</v>
      </c>
      <c r="B165" s="38">
        <f t="shared" si="42"/>
        <v>1</v>
      </c>
      <c r="C165" s="56" t="s">
        <v>393</v>
      </c>
      <c r="D165" s="39" t="str">
        <f t="shared" si="43"/>
        <v xml:space="preserve">      Variable Non-Fuel Costs</v>
      </c>
      <c r="E165" s="39"/>
      <c r="F165" s="39"/>
      <c r="G165" s="39"/>
      <c r="H165" s="39"/>
      <c r="I165" s="39"/>
      <c r="J165" s="43"/>
      <c r="K165" s="61"/>
      <c r="L165" s="49"/>
      <c r="M165" s="59"/>
      <c r="N165" s="49"/>
      <c r="O165" s="49"/>
      <c r="P165" s="49"/>
      <c r="Q165" s="66"/>
      <c r="R165" s="49"/>
      <c r="S165" s="59"/>
      <c r="T165" s="59"/>
      <c r="U165" s="49"/>
      <c r="V165" s="49"/>
      <c r="W165" s="77"/>
      <c r="X165" s="80"/>
      <c r="Y165" s="80"/>
      <c r="Z165" s="77"/>
      <c r="AA165" s="79"/>
      <c r="AB165" s="79"/>
      <c r="AC165" s="77"/>
      <c r="AD165" s="79"/>
      <c r="AE165" s="79"/>
      <c r="AF165" s="79"/>
      <c r="AG165" s="77"/>
    </row>
    <row r="166" spans="1:33" ht="57" customHeight="1" x14ac:dyDescent="0.2">
      <c r="A166" s="37">
        <v>721</v>
      </c>
      <c r="B166" s="38">
        <f t="shared" si="42"/>
        <v>2</v>
      </c>
      <c r="C166" s="56" t="s">
        <v>300</v>
      </c>
      <c r="D166" s="39" t="str">
        <f t="shared" si="43"/>
        <v xml:space="preserve">            Coolant</v>
      </c>
      <c r="E166" s="39" t="s">
        <v>266</v>
      </c>
      <c r="F166" s="39" t="s">
        <v>300</v>
      </c>
      <c r="G166" s="39" t="s">
        <v>301</v>
      </c>
      <c r="H166" s="39"/>
      <c r="I166" s="39"/>
      <c r="J166" s="43"/>
      <c r="K166" s="61">
        <v>170</v>
      </c>
      <c r="L166" s="49" t="s">
        <v>186</v>
      </c>
      <c r="M166" s="59" t="s">
        <v>394</v>
      </c>
      <c r="N166" s="49"/>
      <c r="O166" s="49" t="s">
        <v>188</v>
      </c>
      <c r="P166" s="49"/>
      <c r="Q166" s="66">
        <v>2024</v>
      </c>
      <c r="R166" s="49" t="s">
        <v>219</v>
      </c>
      <c r="S166" s="59" t="s">
        <v>303</v>
      </c>
      <c r="T166" s="63" t="s">
        <v>303</v>
      </c>
      <c r="U166" s="83" t="s">
        <v>304</v>
      </c>
      <c r="V166" s="49" t="s">
        <v>305</v>
      </c>
      <c r="W166" s="77" t="s">
        <v>43</v>
      </c>
      <c r="X166" s="80">
        <f>0.9*$J166</f>
        <v>0</v>
      </c>
      <c r="Y166" s="80">
        <f>1.5*J166</f>
        <v>0</v>
      </c>
      <c r="Z166" s="77" t="s">
        <v>44</v>
      </c>
      <c r="AA166" s="79">
        <f>0.9*K166</f>
        <v>153</v>
      </c>
      <c r="AB166" s="79">
        <f>1.3*K166</f>
        <v>221</v>
      </c>
      <c r="AC166" s="77" t="s">
        <v>44</v>
      </c>
      <c r="AD166" s="79" t="s">
        <v>45</v>
      </c>
      <c r="AE166" s="79" t="s">
        <v>46</v>
      </c>
      <c r="AF166" s="79" t="s">
        <v>47</v>
      </c>
      <c r="AG166" s="77" t="s">
        <v>48</v>
      </c>
    </row>
    <row r="167" spans="1:33" ht="29" customHeight="1" x14ac:dyDescent="0.2">
      <c r="A167" s="37">
        <v>721</v>
      </c>
      <c r="B167" s="38">
        <f>IF(ISNUMBER(A167),
    IF(AND(A167=INT(A167), MOD(A167, 10) = 0), 0,
        IF(AND(A167=INT(A167), LEN(A167)=2), 1,
            IF(AND(A167=INT(A167), LEN(A167)=3), 2,
                LEN(A167) - FIND(".", A167) + 2)
        )
    ),
"")</f>
        <v>2</v>
      </c>
      <c r="C167" s="56" t="s">
        <v>300</v>
      </c>
      <c r="D167" s="39" t="str">
        <f t="shared" si="43"/>
        <v xml:space="preserve">            Coolant</v>
      </c>
      <c r="E167" s="39" t="s">
        <v>266</v>
      </c>
      <c r="F167" s="39" t="s">
        <v>300</v>
      </c>
      <c r="G167" s="39" t="s">
        <v>306</v>
      </c>
      <c r="H167" s="39"/>
      <c r="I167" s="39"/>
      <c r="J167" s="43"/>
      <c r="K167" s="61">
        <v>118</v>
      </c>
      <c r="L167" s="49" t="s">
        <v>186</v>
      </c>
      <c r="M167" s="59" t="s">
        <v>394</v>
      </c>
      <c r="N167" s="49"/>
      <c r="O167" s="49" t="s">
        <v>188</v>
      </c>
      <c r="P167" s="49"/>
      <c r="Q167" s="66">
        <v>2023</v>
      </c>
      <c r="R167" s="49" t="s">
        <v>219</v>
      </c>
      <c r="S167" s="59" t="s">
        <v>395</v>
      </c>
      <c r="T167" s="63"/>
      <c r="U167" s="83"/>
      <c r="V167" s="49" t="s">
        <v>396</v>
      </c>
      <c r="W167" s="77" t="s">
        <v>43</v>
      </c>
      <c r="X167" s="80">
        <f>0.9*$J167</f>
        <v>0</v>
      </c>
      <c r="Y167" s="80">
        <f>1.5*J167</f>
        <v>0</v>
      </c>
      <c r="Z167" s="77" t="s">
        <v>44</v>
      </c>
      <c r="AA167" s="79">
        <f>0.9*K167</f>
        <v>106.2</v>
      </c>
      <c r="AB167" s="79">
        <f>1.3*K167</f>
        <v>153.4</v>
      </c>
      <c r="AC167" s="77" t="s">
        <v>44</v>
      </c>
      <c r="AD167" s="79" t="s">
        <v>45</v>
      </c>
      <c r="AE167" s="79" t="s">
        <v>46</v>
      </c>
      <c r="AF167" s="79" t="s">
        <v>47</v>
      </c>
      <c r="AG167" s="77" t="s">
        <v>48</v>
      </c>
    </row>
    <row r="168" spans="1:33" ht="155" customHeight="1" x14ac:dyDescent="0.2">
      <c r="A168" s="37">
        <v>73</v>
      </c>
      <c r="B168" s="38">
        <f t="shared" ref="B168:B176" si="44">IF(ISNUMBER(A168),
IF(AND(A168=INT(A168), MOD(A168, 10) = 0), 0,
IF(AND(A168=INT(A168), LEN(A168)=2), 1,
IF(AND(A168=INT(A168), LEN(A168)=3), 2,
LEN(A168) - FIND(".", A168) + 2)
)
),
"")</f>
        <v>1</v>
      </c>
      <c r="C168" s="56" t="s">
        <v>397</v>
      </c>
      <c r="D168" s="39" t="str">
        <f t="shared" si="43"/>
        <v xml:space="preserve">      Regulatory Costs</v>
      </c>
      <c r="E168" s="39" t="s">
        <v>35</v>
      </c>
      <c r="F168" s="39"/>
      <c r="G168" s="39"/>
      <c r="H168" s="39"/>
      <c r="I168" s="39"/>
      <c r="J168" s="43">
        <f>(2/100)*5359000</f>
        <v>107180</v>
      </c>
      <c r="K168" s="61"/>
      <c r="L168" s="49"/>
      <c r="M168" s="59"/>
      <c r="N168" s="49"/>
      <c r="O168" s="49"/>
      <c r="P168" s="49"/>
      <c r="Q168" s="66">
        <v>2024</v>
      </c>
      <c r="R168" s="49" t="s">
        <v>53</v>
      </c>
      <c r="S168" s="59" t="s">
        <v>398</v>
      </c>
      <c r="T168" s="63" t="s">
        <v>399</v>
      </c>
      <c r="U168" s="83" t="s">
        <v>399</v>
      </c>
      <c r="V168" s="49"/>
      <c r="W168" s="3" t="s">
        <v>59</v>
      </c>
      <c r="X168" s="80">
        <f>0.9*$J168</f>
        <v>96462</v>
      </c>
      <c r="Y168" s="80">
        <f>1.5*J168</f>
        <v>160770</v>
      </c>
      <c r="Z168" s="77" t="s">
        <v>44</v>
      </c>
      <c r="AA168" s="79"/>
      <c r="AB168" s="79"/>
      <c r="AC168" s="77"/>
      <c r="AD168" s="79"/>
      <c r="AE168" s="79"/>
      <c r="AF168" s="79"/>
      <c r="AG168" s="77"/>
    </row>
    <row r="169" spans="1:33" ht="127" customHeight="1" x14ac:dyDescent="0.2">
      <c r="A169" s="37">
        <v>75</v>
      </c>
      <c r="B169" s="38">
        <f t="shared" si="44"/>
        <v>1</v>
      </c>
      <c r="C169" s="56" t="s">
        <v>400</v>
      </c>
      <c r="D169" s="39" t="str">
        <f t="shared" si="43"/>
        <v xml:space="preserve">      Capital Plant Expenditures</v>
      </c>
      <c r="E169" s="39"/>
      <c r="F169" s="39"/>
      <c r="G169" s="39"/>
      <c r="H169" s="39"/>
      <c r="I169" s="39"/>
      <c r="J169" s="43"/>
      <c r="K169" s="61"/>
      <c r="L169" s="49"/>
      <c r="M169" s="59"/>
      <c r="N169" s="49"/>
      <c r="O169" s="49"/>
      <c r="P169" s="49"/>
      <c r="Q169" s="66"/>
      <c r="R169" s="49"/>
      <c r="S169" s="59" t="s">
        <v>401</v>
      </c>
      <c r="T169" s="59" t="s">
        <v>401</v>
      </c>
      <c r="U169" s="49"/>
      <c r="V169" s="59" t="s">
        <v>402</v>
      </c>
      <c r="W169" s="77"/>
      <c r="X169" s="80"/>
      <c r="Y169" s="80"/>
      <c r="Z169" s="77"/>
      <c r="AA169" s="79"/>
      <c r="AB169" s="79"/>
      <c r="AC169" s="77"/>
      <c r="AD169" s="79"/>
      <c r="AE169" s="79"/>
      <c r="AF169" s="79"/>
      <c r="AG169" s="77"/>
    </row>
    <row r="170" spans="1:33" ht="12.75" customHeight="1" x14ac:dyDescent="0.2">
      <c r="A170" s="37">
        <v>751</v>
      </c>
      <c r="B170" s="38">
        <f t="shared" si="44"/>
        <v>2</v>
      </c>
      <c r="C170" s="56" t="s">
        <v>403</v>
      </c>
      <c r="D170" s="39" t="str">
        <f t="shared" si="43"/>
        <v xml:space="preserve">            Annualized RPV Replacements</v>
      </c>
      <c r="E170" s="39"/>
      <c r="F170" s="39"/>
      <c r="G170" s="39"/>
      <c r="H170" s="39"/>
      <c r="I170" s="39"/>
      <c r="J170" s="43"/>
      <c r="K170" s="61"/>
      <c r="L170" s="49"/>
      <c r="M170" s="59"/>
      <c r="N170" s="49"/>
      <c r="O170" s="49"/>
      <c r="P170" s="49"/>
      <c r="Q170" s="66"/>
      <c r="R170" s="49"/>
      <c r="S170" s="150" t="s">
        <v>401</v>
      </c>
      <c r="T170" s="150" t="s">
        <v>401</v>
      </c>
      <c r="U170" s="49"/>
      <c r="V170" s="150" t="s">
        <v>402</v>
      </c>
      <c r="W170" s="77"/>
      <c r="X170" s="80"/>
      <c r="Y170" s="80"/>
      <c r="Z170" s="77"/>
      <c r="AA170" s="79"/>
      <c r="AB170" s="79"/>
      <c r="AC170" s="77"/>
      <c r="AD170" s="79"/>
      <c r="AE170" s="79"/>
      <c r="AF170" s="79"/>
      <c r="AG170" s="77"/>
    </row>
    <row r="171" spans="1:33" ht="15" customHeight="1" x14ac:dyDescent="0.2">
      <c r="A171" s="37">
        <v>752</v>
      </c>
      <c r="B171" s="38">
        <f t="shared" si="44"/>
        <v>2</v>
      </c>
      <c r="C171" s="56" t="s">
        <v>404</v>
      </c>
      <c r="D171" s="39" t="str">
        <f t="shared" si="43"/>
        <v xml:space="preserve">            Annualized Core Barrel Replacements</v>
      </c>
      <c r="E171" s="39"/>
      <c r="F171" s="39"/>
      <c r="G171" s="39"/>
      <c r="H171" s="39"/>
      <c r="I171" s="39"/>
      <c r="J171" s="43"/>
      <c r="K171" s="61"/>
      <c r="L171" s="49"/>
      <c r="M171" s="59"/>
      <c r="N171" s="49"/>
      <c r="O171" s="49"/>
      <c r="P171" s="49"/>
      <c r="Q171" s="66"/>
      <c r="R171" s="49"/>
      <c r="S171" s="148"/>
      <c r="T171" s="148"/>
      <c r="U171" s="49"/>
      <c r="V171" s="148"/>
      <c r="W171" s="77"/>
      <c r="X171" s="80"/>
      <c r="Y171" s="80"/>
      <c r="Z171" s="77"/>
      <c r="AA171" s="79"/>
      <c r="AB171" s="79"/>
      <c r="AC171" s="77"/>
      <c r="AD171" s="79"/>
      <c r="AE171" s="79"/>
      <c r="AF171" s="79"/>
      <c r="AG171" s="77"/>
    </row>
    <row r="172" spans="1:33" ht="15" customHeight="1" x14ac:dyDescent="0.2">
      <c r="A172" s="37">
        <v>753</v>
      </c>
      <c r="B172" s="38">
        <f t="shared" si="44"/>
        <v>2</v>
      </c>
      <c r="C172" s="56" t="s">
        <v>405</v>
      </c>
      <c r="D172" s="39" t="str">
        <f t="shared" si="43"/>
        <v xml:space="preserve">            Annualized Moderator Replacements</v>
      </c>
      <c r="E172" s="39"/>
      <c r="F172" s="39"/>
      <c r="G172" s="39"/>
      <c r="H172" s="39"/>
      <c r="I172" s="39"/>
      <c r="J172" s="43"/>
      <c r="K172" s="61"/>
      <c r="L172" s="49"/>
      <c r="M172" s="59"/>
      <c r="N172" s="49"/>
      <c r="O172" s="49"/>
      <c r="P172" s="49"/>
      <c r="Q172" s="66"/>
      <c r="R172" s="49"/>
      <c r="S172" s="148"/>
      <c r="T172" s="148"/>
      <c r="U172" s="49"/>
      <c r="V172" s="148"/>
      <c r="W172" s="77"/>
      <c r="X172" s="80"/>
      <c r="Y172" s="80"/>
      <c r="Z172" s="77"/>
      <c r="AA172" s="79"/>
      <c r="AB172" s="79"/>
      <c r="AC172" s="77"/>
      <c r="AD172" s="79"/>
      <c r="AE172" s="79"/>
      <c r="AF172" s="79"/>
      <c r="AG172" s="77"/>
    </row>
    <row r="173" spans="1:33" ht="15" customHeight="1" x14ac:dyDescent="0.2">
      <c r="A173" s="37">
        <v>754</v>
      </c>
      <c r="B173" s="38">
        <f t="shared" si="44"/>
        <v>2</v>
      </c>
      <c r="C173" s="56" t="s">
        <v>406</v>
      </c>
      <c r="D173" s="39" t="str">
        <f t="shared" si="43"/>
        <v xml:space="preserve">            Annualized Reflector Replacements</v>
      </c>
      <c r="E173" s="39"/>
      <c r="F173" s="39"/>
      <c r="G173" s="39"/>
      <c r="H173" s="39"/>
      <c r="I173" s="39"/>
      <c r="J173" s="43"/>
      <c r="K173" s="61"/>
      <c r="L173" s="49"/>
      <c r="M173" s="59"/>
      <c r="N173" s="49"/>
      <c r="O173" s="49"/>
      <c r="P173" s="49"/>
      <c r="Q173" s="66"/>
      <c r="R173" s="49"/>
      <c r="S173" s="148"/>
      <c r="T173" s="148"/>
      <c r="U173" s="49"/>
      <c r="V173" s="148"/>
      <c r="W173" s="77"/>
      <c r="X173" s="80"/>
      <c r="Y173" s="80"/>
      <c r="Z173" s="77"/>
      <c r="AA173" s="79"/>
      <c r="AB173" s="79"/>
      <c r="AC173" s="77"/>
      <c r="AD173" s="79"/>
      <c r="AE173" s="79"/>
      <c r="AF173" s="79"/>
      <c r="AG173" s="77"/>
    </row>
    <row r="174" spans="1:33" ht="29" customHeight="1" x14ac:dyDescent="0.2">
      <c r="A174" s="37">
        <v>755</v>
      </c>
      <c r="B174" s="38">
        <f t="shared" si="44"/>
        <v>2</v>
      </c>
      <c r="C174" s="56" t="s">
        <v>407</v>
      </c>
      <c r="D174" s="39" t="str">
        <f t="shared" si="43"/>
        <v xml:space="preserve">            Annualized Reactivity Control Replacements</v>
      </c>
      <c r="E174" s="39"/>
      <c r="F174" s="39"/>
      <c r="G174" s="39"/>
      <c r="H174" s="39"/>
      <c r="I174" s="39"/>
      <c r="J174" s="43"/>
      <c r="K174" s="61"/>
      <c r="L174" s="49"/>
      <c r="M174" s="59"/>
      <c r="N174" s="49"/>
      <c r="O174" s="49"/>
      <c r="P174" s="49"/>
      <c r="Q174" s="66"/>
      <c r="R174" s="49"/>
      <c r="S174" s="148"/>
      <c r="T174" s="148"/>
      <c r="U174" s="49"/>
      <c r="V174" s="148"/>
      <c r="W174" s="77"/>
      <c r="X174" s="80"/>
      <c r="Y174" s="80"/>
      <c r="Z174" s="77"/>
      <c r="AA174" s="79"/>
      <c r="AB174" s="79"/>
      <c r="AC174" s="77"/>
      <c r="AD174" s="79"/>
      <c r="AE174" s="79"/>
      <c r="AF174" s="79"/>
      <c r="AG174" s="77"/>
    </row>
    <row r="175" spans="1:33" ht="25.5" customHeight="1" x14ac:dyDescent="0.2">
      <c r="A175" s="37">
        <v>756</v>
      </c>
      <c r="B175" s="38">
        <f t="shared" si="44"/>
        <v>2</v>
      </c>
      <c r="C175" s="56" t="s">
        <v>408</v>
      </c>
      <c r="D175" s="39" t="str">
        <f t="shared" si="43"/>
        <v xml:space="preserve">            Annualized Integrated Heat Transfer System Replacements</v>
      </c>
      <c r="E175" s="39"/>
      <c r="F175" s="39"/>
      <c r="G175" s="39"/>
      <c r="H175" s="39"/>
      <c r="I175" s="39"/>
      <c r="J175" s="43"/>
      <c r="K175" s="61"/>
      <c r="L175" s="49"/>
      <c r="M175" s="59"/>
      <c r="N175" s="49"/>
      <c r="O175" s="49"/>
      <c r="P175" s="49"/>
      <c r="Q175" s="66"/>
      <c r="R175" s="49"/>
      <c r="S175" s="148"/>
      <c r="T175" s="148"/>
      <c r="U175" s="49"/>
      <c r="V175" s="148"/>
      <c r="W175" s="77"/>
      <c r="X175" s="80"/>
      <c r="Y175" s="80"/>
      <c r="Z175" s="77"/>
      <c r="AA175" s="79"/>
      <c r="AB175" s="79"/>
      <c r="AC175" s="77"/>
      <c r="AD175" s="79"/>
      <c r="AE175" s="79"/>
      <c r="AF175" s="79"/>
      <c r="AG175" s="77"/>
    </row>
    <row r="176" spans="1:33" ht="25.5" customHeight="1" x14ac:dyDescent="0.2">
      <c r="A176" s="37">
        <v>759</v>
      </c>
      <c r="B176" s="38">
        <f t="shared" si="44"/>
        <v>2</v>
      </c>
      <c r="C176" s="56" t="s">
        <v>409</v>
      </c>
      <c r="D176" s="39" t="str">
        <f t="shared" si="43"/>
        <v xml:space="preserve">            Annualized Misc. Replacements</v>
      </c>
      <c r="E176" s="39"/>
      <c r="F176" s="39"/>
      <c r="G176" s="39"/>
      <c r="H176" s="39"/>
      <c r="I176" s="39"/>
      <c r="J176" s="43"/>
      <c r="K176" s="61"/>
      <c r="L176" s="49"/>
      <c r="M176" s="59"/>
      <c r="N176" s="49"/>
      <c r="O176" s="49"/>
      <c r="P176" s="49"/>
      <c r="Q176" s="66"/>
      <c r="R176" s="49"/>
      <c r="S176" s="149"/>
      <c r="T176" s="149"/>
      <c r="U176" s="49"/>
      <c r="V176" s="149"/>
      <c r="W176" s="77"/>
      <c r="X176" s="80"/>
      <c r="Y176" s="80"/>
      <c r="Z176" s="77"/>
      <c r="AA176" s="79"/>
      <c r="AB176" s="79"/>
      <c r="AC176" s="77"/>
      <c r="AD176" s="79"/>
      <c r="AE176" s="79"/>
      <c r="AF176" s="79"/>
      <c r="AG176" s="77"/>
    </row>
    <row r="177" spans="1:33" ht="30" customHeight="1" x14ac:dyDescent="0.2">
      <c r="A177" s="37">
        <v>78</v>
      </c>
      <c r="B177" s="38">
        <f>IF(ISNUMBER(A177),
    IF(AND(A177=INT(A177), MOD(A177, 10) = 0), 0,
        IF(AND(A177=INT(A177), LEN(A177)=2), 1,
            IF(AND(A177=INT(A177), LEN(A177)=3), 2,
                LEN(A177) - FIND(".", A177) + 2)
        )
    ),
"")</f>
        <v>1</v>
      </c>
      <c r="C177" s="56" t="s">
        <v>410</v>
      </c>
      <c r="D177" s="39" t="str">
        <f t="shared" si="43"/>
        <v xml:space="preserve">      Annualized Decommissioning Cost</v>
      </c>
      <c r="E177" s="39"/>
      <c r="F177" s="39"/>
      <c r="G177" s="39"/>
      <c r="H177" s="39"/>
      <c r="I177" s="39"/>
      <c r="J177" s="43"/>
      <c r="K177" s="72"/>
      <c r="L177" s="49"/>
      <c r="M177" s="45"/>
      <c r="N177" s="49"/>
      <c r="O177" s="49"/>
      <c r="P177" s="49"/>
      <c r="Q177" s="66"/>
      <c r="R177" s="73"/>
      <c r="S177" s="59"/>
      <c r="T177" s="59"/>
      <c r="U177" s="49"/>
      <c r="V177" s="59" t="s">
        <v>411</v>
      </c>
      <c r="W177" s="77"/>
      <c r="X177" s="80"/>
      <c r="Y177" s="80"/>
      <c r="Z177" s="77"/>
      <c r="AA177" s="79"/>
      <c r="AB177" s="79"/>
      <c r="AC177" s="77"/>
      <c r="AD177" s="79"/>
      <c r="AE177" s="79"/>
      <c r="AF177" s="79"/>
      <c r="AG177" s="77"/>
    </row>
    <row r="178" spans="1:33" ht="15" customHeight="1" x14ac:dyDescent="0.2">
      <c r="A178" s="37">
        <v>80</v>
      </c>
      <c r="B178" s="38">
        <f>IF(ISNUMBER(A178),
IF(AND(A178=INT(A178), MOD(A178, 10) = 0), 0,
IF(AND(A178=INT(A178), LEN(A178)=2), 1,
IF(AND(A178=INT(A178), LEN(A178)=3), 2,
LEN(A178) - FIND(".", A178) + 2)
)
),
"")</f>
        <v>0</v>
      </c>
      <c r="C178" s="71" t="s">
        <v>412</v>
      </c>
      <c r="D178" s="39" t="str">
        <f t="shared" si="43"/>
        <v>Annualized Fuel Cost</v>
      </c>
      <c r="E178" s="39"/>
      <c r="F178" s="39"/>
      <c r="G178" s="39"/>
      <c r="H178" s="39"/>
      <c r="I178" s="39"/>
      <c r="J178" s="40"/>
      <c r="K178" s="40"/>
      <c r="L178" s="38"/>
      <c r="M178" s="41"/>
      <c r="N178" s="38"/>
      <c r="O178" s="38"/>
      <c r="P178" s="38"/>
      <c r="Q178" s="40"/>
      <c r="R178" s="38"/>
      <c r="S178" s="41"/>
      <c r="T178" s="38"/>
      <c r="U178" s="38"/>
      <c r="V178" s="38"/>
      <c r="W178" s="77"/>
      <c r="X178" s="80"/>
      <c r="Y178" s="80"/>
      <c r="Z178" s="77"/>
      <c r="AA178" s="79"/>
      <c r="AB178" s="79"/>
      <c r="AC178" s="77"/>
      <c r="AD178" s="79"/>
      <c r="AE178" s="79"/>
      <c r="AF178" s="79"/>
      <c r="AG178" s="77"/>
    </row>
    <row r="179" spans="1:33" ht="85" customHeight="1" x14ac:dyDescent="0.2">
      <c r="A179" s="37">
        <v>81</v>
      </c>
      <c r="B179" s="38">
        <f>IF(ISNUMBER(A179),
IF(AND(A179=INT(A179), MOD(A179, 10) = 0), 0,
IF(AND(A179=INT(A179), LEN(A179)=2), 1,
IF(AND(A179=INT(A179), LEN(A179)=3), 2,
LEN(A179) - FIND(".", A179) + 2)
)
),
"")</f>
        <v>1</v>
      </c>
      <c r="C179" s="56" t="s">
        <v>413</v>
      </c>
      <c r="D179" s="39" t="str">
        <f t="shared" si="43"/>
        <v xml:space="preserve">      Refueling Operations</v>
      </c>
      <c r="E179" s="39" t="s">
        <v>266</v>
      </c>
      <c r="F179" s="39"/>
      <c r="G179" s="39"/>
      <c r="H179" s="39"/>
      <c r="I179" s="39"/>
      <c r="J179" s="43"/>
      <c r="K179" s="61">
        <v>178500</v>
      </c>
      <c r="L179" s="49" t="s">
        <v>384</v>
      </c>
      <c r="M179" s="59" t="s">
        <v>385</v>
      </c>
      <c r="N179" s="49"/>
      <c r="O179" s="49"/>
      <c r="P179" s="49">
        <v>1</v>
      </c>
      <c r="Q179" s="66">
        <v>2024</v>
      </c>
      <c r="R179" s="73" t="s">
        <v>53</v>
      </c>
      <c r="S179" s="59"/>
      <c r="T179" s="59" t="s">
        <v>386</v>
      </c>
      <c r="U179" s="49"/>
      <c r="V179" s="49"/>
      <c r="W179" s="77" t="s">
        <v>43</v>
      </c>
      <c r="X179" s="80">
        <f>0.9*$J179</f>
        <v>0</v>
      </c>
      <c r="Y179" s="80">
        <f>1.5*J179</f>
        <v>0</v>
      </c>
      <c r="Z179" s="77" t="s">
        <v>44</v>
      </c>
      <c r="AA179" s="79">
        <f>0.9*K179</f>
        <v>160650</v>
      </c>
      <c r="AB179" s="79">
        <f>1.3*K179</f>
        <v>232050</v>
      </c>
      <c r="AC179" s="77" t="s">
        <v>44</v>
      </c>
      <c r="AD179" s="79" t="s">
        <v>45</v>
      </c>
      <c r="AE179" s="79" t="s">
        <v>46</v>
      </c>
      <c r="AF179" s="79" t="s">
        <v>47</v>
      </c>
      <c r="AG179" s="77" t="s">
        <v>48</v>
      </c>
    </row>
    <row r="180" spans="1:33" ht="15" customHeight="1" x14ac:dyDescent="0.2">
      <c r="A180" s="37">
        <v>82</v>
      </c>
      <c r="B180" s="38">
        <f>IF(ISNUMBER(A180),
IF(AND(A180=INT(A180), MOD(A180, 10) = 0), 0,
IF(AND(A180=INT(A180), LEN(A180)=2), 1,
IF(AND(A180=INT(A180), LEN(A180)=3), 2,
LEN(A180) - FIND(".", A180) + 2)
)
),
"")</f>
        <v>1</v>
      </c>
      <c r="C180" s="56" t="s">
        <v>414</v>
      </c>
      <c r="D180" s="39" t="str">
        <f t="shared" si="43"/>
        <v xml:space="preserve">      Additional Nuclear Fuel</v>
      </c>
      <c r="E180" s="39"/>
      <c r="F180" s="39"/>
      <c r="G180" s="39"/>
      <c r="H180" s="39"/>
      <c r="I180" s="39"/>
      <c r="J180" s="43"/>
      <c r="K180" s="61"/>
      <c r="L180" s="49"/>
      <c r="M180" s="59"/>
      <c r="N180" s="49"/>
      <c r="O180" s="49"/>
      <c r="P180" s="49"/>
      <c r="Q180" s="66"/>
      <c r="R180" s="49"/>
      <c r="S180" s="59"/>
      <c r="T180" s="49"/>
      <c r="U180" s="49"/>
      <c r="V180" s="49"/>
      <c r="W180" s="77"/>
      <c r="X180" s="80"/>
      <c r="Y180" s="80"/>
      <c r="Z180" s="77"/>
      <c r="AA180" s="79"/>
      <c r="AB180" s="79"/>
      <c r="AC180" s="77"/>
      <c r="AD180" s="79"/>
      <c r="AE180" s="79"/>
      <c r="AF180" s="79"/>
      <c r="AG180" s="77"/>
    </row>
    <row r="181" spans="1:33" ht="29" customHeight="1" x14ac:dyDescent="0.2">
      <c r="A181" s="37">
        <v>83</v>
      </c>
      <c r="B181" s="38">
        <f>IF(ISNUMBER(A181),
IF(AND(A181=INT(A181), MOD(A181, 10) = 0), 0,
IF(AND(A181=INT(A181), LEN(A181)=2), 1,
IF(AND(A181=INT(A181), LEN(A181)=3), 2,
LEN(A181) - FIND(".", A181) + 2)
)
),
"")</f>
        <v>1</v>
      </c>
      <c r="C181" s="56" t="s">
        <v>415</v>
      </c>
      <c r="D181" s="39" t="str">
        <f t="shared" si="43"/>
        <v xml:space="preserve">      Spent Fuel Management</v>
      </c>
      <c r="E181" s="39" t="s">
        <v>35</v>
      </c>
      <c r="F181" s="39"/>
      <c r="G181" s="39"/>
      <c r="H181" s="39"/>
      <c r="I181" s="39"/>
      <c r="J181" s="43"/>
      <c r="K181" s="61">
        <v>1</v>
      </c>
      <c r="L181" s="49" t="s">
        <v>416</v>
      </c>
      <c r="M181" s="59" t="s">
        <v>417</v>
      </c>
      <c r="N181" s="49"/>
      <c r="O181" s="49"/>
      <c r="P181" s="49">
        <v>1</v>
      </c>
      <c r="Q181" s="66">
        <v>2024</v>
      </c>
      <c r="R181" s="49" t="s">
        <v>86</v>
      </c>
      <c r="S181" s="59"/>
      <c r="T181" s="49"/>
      <c r="U181" s="49"/>
      <c r="V181" s="49"/>
      <c r="W181" s="77" t="s">
        <v>43</v>
      </c>
      <c r="X181" s="80">
        <f>0.9*$J181</f>
        <v>0</v>
      </c>
      <c r="Y181" s="80">
        <f>1.5*J181</f>
        <v>0</v>
      </c>
      <c r="Z181" s="77" t="s">
        <v>44</v>
      </c>
      <c r="AA181" s="79">
        <f>0.9*K181</f>
        <v>0.9</v>
      </c>
      <c r="AB181" s="79">
        <f>1.3*K181</f>
        <v>1.3</v>
      </c>
      <c r="AC181" s="77" t="s">
        <v>44</v>
      </c>
      <c r="AD181" s="79" t="s">
        <v>45</v>
      </c>
      <c r="AE181" s="79" t="s">
        <v>46</v>
      </c>
      <c r="AF181" s="79" t="s">
        <v>47</v>
      </c>
      <c r="AG181" s="77" t="s">
        <v>48</v>
      </c>
    </row>
  </sheetData>
  <autoFilter ref="A1:AB181" xr:uid="{00000000-0009-0000-0000-000000000000}"/>
  <mergeCells count="53">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T26:T28"/>
    <mergeCell ref="T41:T43"/>
    <mergeCell ref="V106:V107"/>
    <mergeCell ref="T61:T63"/>
    <mergeCell ref="T76:T80"/>
  </mergeCells>
  <conditionalFormatting sqref="A97:B103">
    <cfRule type="expression" dxfId="298" priority="547">
      <formula>$B97=3</formula>
    </cfRule>
    <cfRule type="expression" dxfId="297" priority="548">
      <formula>$B97=2</formula>
    </cfRule>
    <cfRule type="expression" dxfId="296" priority="549">
      <formula>$B97&lt;2</formula>
    </cfRule>
  </conditionalFormatting>
  <conditionalFormatting sqref="A106:F108 U113:V119 U120:U121 A135:B140 N142:V142 N143:R143 U143:V148 K144:R144 A148:T148 T152:V157 A158:V161 A162:J163">
    <cfRule type="expression" dxfId="295" priority="763">
      <formula>$B106=0</formula>
    </cfRule>
  </conditionalFormatting>
  <conditionalFormatting sqref="A97:I103">
    <cfRule type="expression" dxfId="294" priority="10">
      <formula>$B97=0</formula>
    </cfRule>
  </conditionalFormatting>
  <conditionalFormatting sqref="A147:R147">
    <cfRule type="expression" dxfId="293" priority="711">
      <formula>$B147=0</formula>
    </cfRule>
  </conditionalFormatting>
  <conditionalFormatting sqref="A150:R157">
    <cfRule type="expression" dxfId="292" priority="656">
      <formula>$B150=3</formula>
    </cfRule>
    <cfRule type="expression" dxfId="291" priority="657">
      <formula>$B150=2</formula>
    </cfRule>
    <cfRule type="expression" dxfId="290" priority="658">
      <formula>$B150&lt;2</formula>
    </cfRule>
    <cfRule type="expression" dxfId="289" priority="659">
      <formula>$B150=0</formula>
    </cfRule>
  </conditionalFormatting>
  <conditionalFormatting sqref="A124:S125 U124:V125 U166:V168">
    <cfRule type="expression" dxfId="288" priority="556">
      <formula>$B124=0</formula>
    </cfRule>
  </conditionalFormatting>
  <conditionalFormatting sqref="A105:U105">
    <cfRule type="expression" dxfId="287" priority="764">
      <formula>$B105=3</formula>
    </cfRule>
    <cfRule type="expression" dxfId="286" priority="765">
      <formula>$B105=2</formula>
    </cfRule>
    <cfRule type="expression" dxfId="285" priority="766">
      <formula>$B105&lt;2</formula>
    </cfRule>
    <cfRule type="expression" dxfId="284" priority="767">
      <formula>$B105=0</formula>
    </cfRule>
  </conditionalFormatting>
  <conditionalFormatting sqref="A74:V96 A104:V104 A170:R176">
    <cfRule type="expression" dxfId="283" priority="461">
      <formula>$B74=3</formula>
    </cfRule>
    <cfRule type="expression" dxfId="282" priority="462">
      <formula>$B74=2</formula>
    </cfRule>
    <cfRule type="expression" dxfId="281" priority="463">
      <formula>$B74&lt;2</formula>
    </cfRule>
  </conditionalFormatting>
  <conditionalFormatting sqref="A76:V83">
    <cfRule type="expression" dxfId="280" priority="551">
      <formula>$B76=0</formula>
    </cfRule>
  </conditionalFormatting>
  <conditionalFormatting sqref="A95:V96 D97:D103 A122:V123 A126:V140 A141:AG144 A145:G146 I145:AG146 A147:AG169">
    <cfRule type="expression" dxfId="279" priority="596">
      <formula>$B95&lt;2</formula>
    </cfRule>
  </conditionalFormatting>
  <conditionalFormatting sqref="A109:V111 U113:V119 U120:U121 A124:S125 U124:V125 A141:AG144 A145:G146 I145:AG146 A147:AG169 A135:B140 U135:V140 U143:V148 A5:S6 A106:F108 A1:AG4 U5:AG6">
    <cfRule type="expression" dxfId="278" priority="760">
      <formula>$B1=3</formula>
    </cfRule>
  </conditionalFormatting>
  <conditionalFormatting sqref="A122:V123 A126:V140 A95:V96 D97:D103 A141:AG144 A145:G146 I145:AG146 A147:AG169">
    <cfRule type="expression" dxfId="277" priority="595">
      <formula>$B95=2</formula>
    </cfRule>
  </conditionalFormatting>
  <conditionalFormatting sqref="A122:V123">
    <cfRule type="expression" dxfId="276" priority="731">
      <formula>$B122=0</formula>
    </cfRule>
  </conditionalFormatting>
  <conditionalFormatting sqref="A126:V140 A122:V123">
    <cfRule type="expression" dxfId="275" priority="594">
      <formula>$B122=3</formula>
    </cfRule>
  </conditionalFormatting>
  <conditionalFormatting sqref="A149:V149">
    <cfRule type="expression" dxfId="274" priority="692">
      <formula>$B149=3</formula>
    </cfRule>
    <cfRule type="expression" dxfId="273" priority="693">
      <formula>$B149=2</formula>
    </cfRule>
    <cfRule type="expression" dxfId="272" priority="694">
      <formula>$B149&lt;2</formula>
    </cfRule>
    <cfRule type="expression" dxfId="271" priority="695">
      <formula>$B149=0</formula>
    </cfRule>
  </conditionalFormatting>
  <conditionalFormatting sqref="A178:V181">
    <cfRule type="expression" dxfId="270" priority="624">
      <formula>$B178=3</formula>
    </cfRule>
    <cfRule type="expression" dxfId="269" priority="625">
      <formula>$B178=2</formula>
    </cfRule>
    <cfRule type="expression" dxfId="268" priority="626">
      <formula>$B178&lt;2</formula>
    </cfRule>
    <cfRule type="expression" dxfId="267" priority="627">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66" priority="761">
      <formula>$B1=2</formula>
    </cfRule>
    <cfRule type="expression" dxfId="265" priority="762">
      <formula>$B1&lt;2</formula>
    </cfRule>
  </conditionalFormatting>
  <conditionalFormatting sqref="A1:AG4 A5:S6 U5:AG6 A7:AG51 A170:R176">
    <cfRule type="expression" dxfId="264" priority="464">
      <formula>$B1=0</formula>
    </cfRule>
  </conditionalFormatting>
  <conditionalFormatting sqref="A7:AG48">
    <cfRule type="expression" dxfId="263" priority="526">
      <formula>$B7=3</formula>
    </cfRule>
    <cfRule type="expression" dxfId="262" priority="527">
      <formula>$B7=2</formula>
    </cfRule>
    <cfRule type="expression" dxfId="261" priority="528">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260" priority="725">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59" priority="726">
      <formula>$B49&lt;2</formula>
    </cfRule>
  </conditionalFormatting>
  <conditionalFormatting sqref="A83:AG96">
    <cfRule type="expression" dxfId="258" priority="39">
      <formula>$B83=0</formula>
    </cfRule>
  </conditionalFormatting>
  <conditionalFormatting sqref="A85:AG85">
    <cfRule type="expression" dxfId="257" priority="36">
      <formula>$B85=3</formula>
    </cfRule>
    <cfRule type="expression" dxfId="256" priority="37">
      <formula>$B85=2</formula>
    </cfRule>
    <cfRule type="expression" dxfId="255" priority="38">
      <formula>$B85&lt;2</formula>
    </cfRule>
  </conditionalFormatting>
  <conditionalFormatting sqref="A86:AG93">
    <cfRule type="expression" dxfId="254" priority="497">
      <formula>$B86=3</formula>
    </cfRule>
    <cfRule type="expression" dxfId="253" priority="498">
      <formula>$B86=2</formula>
    </cfRule>
    <cfRule type="expression" dxfId="252" priority="499">
      <formula>$B86&lt;2</formula>
    </cfRule>
  </conditionalFormatting>
  <conditionalFormatting sqref="A94:AG96 D97:D103 A145:G146 I145:R146 A147:R147">
    <cfRule type="expression" dxfId="251" priority="708">
      <formula>$B94=3</formula>
    </cfRule>
  </conditionalFormatting>
  <conditionalFormatting sqref="A104:AG108">
    <cfRule type="expression" dxfId="250" priority="481">
      <formula>$B104=3</formula>
    </cfRule>
    <cfRule type="expression" dxfId="249" priority="482">
      <formula>$B104=2</formula>
    </cfRule>
    <cfRule type="expression" dxfId="248" priority="483">
      <formula>$B104&lt;2</formula>
    </cfRule>
  </conditionalFormatting>
  <conditionalFormatting sqref="A133:AG134">
    <cfRule type="expression" dxfId="247" priority="456">
      <formula>$B133=0</formula>
    </cfRule>
  </conditionalFormatting>
  <conditionalFormatting sqref="A141:AG144 A145:G146 I145:AG146 A147:AG169">
    <cfRule type="expression" dxfId="246" priority="529">
      <formula>$B141=0</formula>
    </cfRule>
  </conditionalFormatting>
  <conditionalFormatting sqref="A177:AG181 A55:AG75 A83:AG84 A122:AG131 A132:V132 A133:Y133 A134:AG134 A109:AG120 A76:V82 A97:B103 A49:AG51 F52:AG52 F53:U54 A52:E54 W53:AG54 A121:U121 W121:AG121 S170:AG170 U171:U176 W171:AG176">
    <cfRule type="expression" dxfId="245" priority="724">
      <formula>$B49=3</formula>
    </cfRule>
  </conditionalFormatting>
  <conditionalFormatting sqref="C97:C98">
    <cfRule type="expression" dxfId="244" priority="401">
      <formula>$B97=3</formula>
    </cfRule>
    <cfRule type="expression" dxfId="243" priority="402">
      <formula>$B97=2</formula>
    </cfRule>
    <cfRule type="expression" dxfId="242" priority="403">
      <formula>$B97&lt;2</formula>
    </cfRule>
  </conditionalFormatting>
  <conditionalFormatting sqref="C97:C100">
    <cfRule type="expression" dxfId="241" priority="394">
      <formula>$B97=3</formula>
    </cfRule>
    <cfRule type="expression" dxfId="240" priority="395">
      <formula>$B97=2</formula>
    </cfRule>
    <cfRule type="expression" dxfId="239" priority="396">
      <formula>$B97&lt;2</formula>
    </cfRule>
  </conditionalFormatting>
  <conditionalFormatting sqref="C99:C102">
    <cfRule type="expression" dxfId="238" priority="387">
      <formula>$B99=3</formula>
    </cfRule>
    <cfRule type="expression" dxfId="237" priority="388">
      <formula>$B99=2</formula>
    </cfRule>
    <cfRule type="expression" dxfId="236" priority="389">
      <formula>$B99&lt;2</formula>
    </cfRule>
  </conditionalFormatting>
  <conditionalFormatting sqref="C101:C103">
    <cfRule type="expression" dxfId="235" priority="380">
      <formula>$B101=3</formula>
    </cfRule>
    <cfRule type="expression" dxfId="234" priority="381">
      <formula>$B101=2</formula>
    </cfRule>
    <cfRule type="expression" dxfId="233" priority="382">
      <formula>$B101&lt;2</formula>
    </cfRule>
  </conditionalFormatting>
  <conditionalFormatting sqref="C102:C103">
    <cfRule type="expression" dxfId="232" priority="26">
      <formula>$B102=3</formula>
    </cfRule>
    <cfRule type="expression" dxfId="231" priority="27">
      <formula>$B102=2</formula>
    </cfRule>
    <cfRule type="expression" dxfId="230" priority="28">
      <formula>$B102&lt;2</formula>
    </cfRule>
  </conditionalFormatting>
  <conditionalFormatting sqref="C135:T135 C136:R140">
    <cfRule type="expression" dxfId="229" priority="583">
      <formula>$B135=3</formula>
    </cfRule>
    <cfRule type="expression" dxfId="228" priority="584">
      <formula>$B135=2</formula>
    </cfRule>
    <cfRule type="expression" dxfId="227" priority="585">
      <formula>$B135&lt;2</formula>
    </cfRule>
    <cfRule type="expression" dxfId="226" priority="586">
      <formula>$B135=0</formula>
    </cfRule>
  </conditionalFormatting>
  <conditionalFormatting sqref="D2:D80 D82 D84:D134 D141:D181">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25" priority="373">
      <formula>$B97=3</formula>
    </cfRule>
    <cfRule type="expression" dxfId="224" priority="374">
      <formula>$B97=2</formula>
    </cfRule>
    <cfRule type="expression" dxfId="223" priority="375">
      <formula>$B97&lt;2</formula>
    </cfRule>
  </conditionalFormatting>
  <conditionalFormatting sqref="E97:E103">
    <cfRule type="expression" dxfId="222" priority="370">
      <formula>$B97=3</formula>
    </cfRule>
    <cfRule type="expression" dxfId="221" priority="371">
      <formula>$B97=2</formula>
    </cfRule>
    <cfRule type="expression" dxfId="220" priority="372">
      <formula>$B97&lt;2</formula>
    </cfRule>
  </conditionalFormatting>
  <conditionalFormatting sqref="E83:Q83 Q124:Q125">
    <cfRule type="expression" dxfId="219" priority="602">
      <formula>_xlfn.ISFORMULA(E83)</formula>
    </cfRule>
  </conditionalFormatting>
  <conditionalFormatting sqref="E135:Q140">
    <cfRule type="expression" dxfId="218" priority="582">
      <formula>_xlfn.ISFORMULA(E135)</formula>
    </cfRule>
  </conditionalFormatting>
  <conditionalFormatting sqref="F109:F111">
    <cfRule type="expression" dxfId="217" priority="49">
      <formula>$B109=0</formula>
    </cfRule>
  </conditionalFormatting>
  <conditionalFormatting sqref="F111">
    <cfRule type="expression" dxfId="216" priority="43">
      <formula>$B111=3</formula>
    </cfRule>
    <cfRule type="expression" dxfId="215" priority="44">
      <formula>$B111=2</formula>
    </cfRule>
    <cfRule type="expression" dxfId="214" priority="45">
      <formula>$B111&lt;2</formula>
    </cfRule>
  </conditionalFormatting>
  <conditionalFormatting sqref="F109:G110">
    <cfRule type="expression" dxfId="213" priority="46">
      <formula>$B109=3</formula>
    </cfRule>
    <cfRule type="expression" dxfId="212" priority="47">
      <formula>$B109=2</formula>
    </cfRule>
    <cfRule type="expression" dxfId="211" priority="48">
      <formula>$B109&lt;2</formula>
    </cfRule>
  </conditionalFormatting>
  <conditionalFormatting sqref="F51:I54">
    <cfRule type="expression" dxfId="210" priority="531">
      <formula>$B51=3</formula>
    </cfRule>
    <cfRule type="expression" dxfId="209" priority="532">
      <formula>$B51=2</formula>
    </cfRule>
    <cfRule type="expression" dxfId="208" priority="533">
      <formula>$B51&lt;2</formula>
    </cfRule>
    <cfRule type="expression" dxfId="207" priority="534">
      <formula>$B51=0</formula>
    </cfRule>
  </conditionalFormatting>
  <conditionalFormatting sqref="F97:I98">
    <cfRule type="expression" dxfId="206" priority="352">
      <formula>$B97=3</formula>
    </cfRule>
    <cfRule type="expression" dxfId="205" priority="353">
      <formula>$B97=2</formula>
    </cfRule>
    <cfRule type="expression" dxfId="204" priority="354">
      <formula>$B97&lt;2</formula>
    </cfRule>
  </conditionalFormatting>
  <conditionalFormatting sqref="F97:I99 F100 H100:I100 F101:I101 F102 H102:I102">
    <cfRule type="expression" dxfId="203" priority="162">
      <formula>$B97=3</formula>
    </cfRule>
    <cfRule type="expression" dxfId="202" priority="163">
      <formula>$B97=2</formula>
    </cfRule>
    <cfRule type="expression" dxfId="201" priority="164">
      <formula>$B97&lt;2</formula>
    </cfRule>
  </conditionalFormatting>
  <conditionalFormatting sqref="F99:I101">
    <cfRule type="expression" dxfId="200" priority="32">
      <formula>$B99=3</formula>
    </cfRule>
    <cfRule type="expression" dxfId="199" priority="33">
      <formula>$B99=2</formula>
    </cfRule>
    <cfRule type="expression" dxfId="198" priority="34">
      <formula>$B99&lt;2</formula>
    </cfRule>
  </conditionalFormatting>
  <conditionalFormatting sqref="F102:I103">
    <cfRule type="expression" dxfId="197" priority="7">
      <formula>$B102=3</formula>
    </cfRule>
    <cfRule type="expression" dxfId="196" priority="8">
      <formula>$B102=2</formula>
    </cfRule>
    <cfRule type="expression" dxfId="195" priority="9">
      <formula>$B102&lt;2</formula>
    </cfRule>
  </conditionalFormatting>
  <conditionalFormatting sqref="F103:I103">
    <cfRule type="expression" dxfId="194" priority="155">
      <formula>$B103=3</formula>
    </cfRule>
    <cfRule type="expression" dxfId="193" priority="156">
      <formula>$B103=2</formula>
    </cfRule>
    <cfRule type="expression" dxfId="192" priority="157">
      <formula>$B103&lt;2</formula>
    </cfRule>
  </conditionalFormatting>
  <conditionalFormatting sqref="F53:U54 W53:AG54 A55:AG75 A104:AG105 A106:V109 A109:AG120 A121:U121 W121:AG121 A122:AG131 A126:V141 S170:AG170 U171:U176 W171:AG176 A177:AG181">
    <cfRule type="expression" dxfId="191" priority="727">
      <formula>$B53=0</formula>
    </cfRule>
  </conditionalFormatting>
  <conditionalFormatting sqref="F52:AG52 A52:E54">
    <cfRule type="expression" dxfId="190" priority="525">
      <formula>$B52=0</formula>
    </cfRule>
  </conditionalFormatting>
  <conditionalFormatting sqref="G100">
    <cfRule type="expression" dxfId="189" priority="29">
      <formula>$B100=3</formula>
    </cfRule>
    <cfRule type="expression" dxfId="188" priority="30">
      <formula>$B100=2</formula>
    </cfRule>
    <cfRule type="expression" dxfId="187" priority="31">
      <formula>$B100&lt;2</formula>
    </cfRule>
  </conditionalFormatting>
  <conditionalFormatting sqref="G102">
    <cfRule type="expression" dxfId="186" priority="4">
      <formula>$B102=3</formula>
    </cfRule>
    <cfRule type="expression" dxfId="185" priority="5">
      <formula>$B102=2</formula>
    </cfRule>
    <cfRule type="expression" dxfId="184" priority="6">
      <formula>$B102&lt;2</formula>
    </cfRule>
  </conditionalFormatting>
  <conditionalFormatting sqref="G106:I107">
    <cfRule type="expression" dxfId="183" priority="756">
      <formula>$B106=3</formula>
    </cfRule>
    <cfRule type="expression" dxfId="182" priority="757">
      <formula>$B106=2</formula>
    </cfRule>
    <cfRule type="expression" dxfId="181" priority="758">
      <formula>$B106&lt;2</formula>
    </cfRule>
    <cfRule type="expression" dxfId="180" priority="759">
      <formula>$B106=0</formula>
    </cfRule>
  </conditionalFormatting>
  <conditionalFormatting sqref="H145:H146 K162:L163">
    <cfRule type="expression" dxfId="179" priority="641">
      <formula>$B146=2</formula>
    </cfRule>
    <cfRule type="expression" dxfId="178" priority="642">
      <formula>$B146&lt;2</formula>
    </cfRule>
    <cfRule type="expression" dxfId="177" priority="643">
      <formula>$B146=0</formula>
    </cfRule>
  </conditionalFormatting>
  <conditionalFormatting sqref="H145:H146">
    <cfRule type="expression" dxfId="176" priority="1031">
      <formula>$B146=2</formula>
    </cfRule>
    <cfRule type="expression" dxfId="175" priority="1032">
      <formula>$B146&lt;2</formula>
    </cfRule>
    <cfRule type="expression" dxfId="174" priority="1034">
      <formula>$B146=3</formula>
    </cfRule>
  </conditionalFormatting>
  <conditionalFormatting sqref="J5">
    <cfRule type="expression" dxfId="173" priority="562">
      <formula>$B5=3</formula>
    </cfRule>
    <cfRule type="expression" dxfId="172" priority="563">
      <formula>$B5=2</formula>
    </cfRule>
    <cfRule type="expression" dxfId="171" priority="564">
      <formula>$B5&lt;2</formula>
    </cfRule>
    <cfRule type="expression" dxfId="170" priority="565">
      <formula>$B5=0</formula>
    </cfRule>
  </conditionalFormatting>
  <conditionalFormatting sqref="J71:L73">
    <cfRule type="expression" dxfId="169" priority="613">
      <formula>_xlfn.ISFORMULA(J71)</formula>
    </cfRule>
    <cfRule type="expression" dxfId="168" priority="617">
      <formula>$B71=0</formula>
    </cfRule>
  </conditionalFormatting>
  <conditionalFormatting sqref="J1:Q96 J104:Q1048576">
    <cfRule type="expression" dxfId="167" priority="623">
      <formula>_xlfn.ISFORMULA(J1)</formula>
    </cfRule>
  </conditionalFormatting>
  <conditionalFormatting sqref="J68:Q70">
    <cfRule type="expression" dxfId="166" priority="618">
      <formula>_xlfn.ISFORMULA(J68)</formula>
    </cfRule>
  </conditionalFormatting>
  <conditionalFormatting sqref="J69:S73">
    <cfRule type="expression" dxfId="165" priority="609">
      <formula>$B69=3</formula>
    </cfRule>
    <cfRule type="expression" dxfId="164" priority="610">
      <formula>$B69=2</formula>
    </cfRule>
    <cfRule type="expression" dxfId="163" priority="611">
      <formula>$B69&lt;2</formula>
    </cfRule>
  </conditionalFormatting>
  <conditionalFormatting sqref="J68:V68 J69:S70 U69:V73">
    <cfRule type="expression" dxfId="162" priority="622">
      <formula>$B68=0</formula>
    </cfRule>
  </conditionalFormatting>
  <conditionalFormatting sqref="J68:V68 U69:V73">
    <cfRule type="expression" dxfId="161" priority="619">
      <formula>$B68=3</formula>
    </cfRule>
    <cfRule type="expression" dxfId="160" priority="620">
      <formula>$B68=2</formula>
    </cfRule>
    <cfRule type="expression" dxfId="159" priority="621">
      <formula>$B68&lt;2</formula>
    </cfRule>
  </conditionalFormatting>
  <conditionalFormatting sqref="K81">
    <cfRule type="expression" dxfId="158" priority="555">
      <formula>_xlfn.ISFORMULA(K81)</formula>
    </cfRule>
  </conditionalFormatting>
  <conditionalFormatting sqref="K103:L103">
    <cfRule type="expression" dxfId="157" priority="120">
      <formula>$B103=3</formula>
    </cfRule>
    <cfRule type="expression" dxfId="156" priority="121">
      <formula>$B103=2</formula>
    </cfRule>
    <cfRule type="expression" dxfId="155" priority="122">
      <formula>$B103&lt;2</formula>
    </cfRule>
  </conditionalFormatting>
  <conditionalFormatting sqref="K162:L163 H145:H146">
    <cfRule type="expression" dxfId="154" priority="640">
      <formula>$B146=3</formula>
    </cfRule>
  </conditionalFormatting>
  <conditionalFormatting sqref="K97:M98">
    <cfRule type="expression" dxfId="153" priority="306">
      <formula>$B97=3</formula>
    </cfRule>
    <cfRule type="expression" dxfId="152" priority="307">
      <formula>$B97=2</formula>
    </cfRule>
    <cfRule type="expression" dxfId="151" priority="308">
      <formula>$B97&lt;2</formula>
    </cfRule>
  </conditionalFormatting>
  <conditionalFormatting sqref="K97:M101">
    <cfRule type="expression" dxfId="150" priority="132">
      <formula>$B97=3</formula>
    </cfRule>
    <cfRule type="expression" dxfId="149" priority="133">
      <formula>$B97=2</formula>
    </cfRule>
    <cfRule type="expression" dxfId="148" priority="134">
      <formula>$B97&lt;2</formula>
    </cfRule>
  </conditionalFormatting>
  <conditionalFormatting sqref="K97:M103">
    <cfRule type="expression" dxfId="147" priority="123">
      <formula>_xlfn.ISFORMULA(K97)</formula>
    </cfRule>
    <cfRule type="expression" dxfId="146" priority="127">
      <formula>$B97=0</formula>
    </cfRule>
  </conditionalFormatting>
  <conditionalFormatting sqref="K99:M103">
    <cfRule type="expression" dxfId="145" priority="124">
      <formula>$B99=3</formula>
    </cfRule>
    <cfRule type="expression" dxfId="144" priority="125">
      <formula>$B99=2</formula>
    </cfRule>
    <cfRule type="expression" dxfId="143" priority="126">
      <formula>$B99&lt;2</formula>
    </cfRule>
  </conditionalFormatting>
  <conditionalFormatting sqref="K102:M102">
    <cfRule type="expression" dxfId="142" priority="23">
      <formula>$B102=3</formula>
    </cfRule>
    <cfRule type="expression" dxfId="141" priority="24">
      <formula>$B102=2</formula>
    </cfRule>
    <cfRule type="expression" dxfId="140" priority="25">
      <formula>$B102&lt;2</formula>
    </cfRule>
  </conditionalFormatting>
  <conditionalFormatting sqref="K142:M143">
    <cfRule type="expression" dxfId="139" priority="720">
      <formula>$B142=3</formula>
    </cfRule>
    <cfRule type="expression" dxfId="138" priority="721">
      <formula>$B142=2</formula>
    </cfRule>
    <cfRule type="expression" dxfId="137" priority="722">
      <formula>$B142&lt;2</formula>
    </cfRule>
    <cfRule type="expression" dxfId="136" priority="723">
      <formula>$B142=0</formula>
    </cfRule>
  </conditionalFormatting>
  <conditionalFormatting sqref="L112">
    <cfRule type="expression" dxfId="135" priority="569">
      <formula>$B112=0</formula>
    </cfRule>
    <cfRule type="expression" dxfId="134" priority="959">
      <formula>#REF!=2</formula>
    </cfRule>
    <cfRule type="expression" dxfId="133" priority="960">
      <formula>#REF!&lt;2</formula>
    </cfRule>
    <cfRule type="expression" dxfId="132" priority="961">
      <formula>#REF!=0</formula>
    </cfRule>
    <cfRule type="expression" dxfId="131" priority="962">
      <formula>#REF!=3</formula>
    </cfRule>
  </conditionalFormatting>
  <conditionalFormatting sqref="L112:V112">
    <cfRule type="expression" dxfId="130" priority="566">
      <formula>$B112=3</formula>
    </cfRule>
    <cfRule type="expression" dxfId="129" priority="567">
      <formula>$B112=2</formula>
    </cfRule>
    <cfRule type="expression" dxfId="128" priority="568">
      <formula>$B112&lt;2</formula>
    </cfRule>
  </conditionalFormatting>
  <conditionalFormatting sqref="M103">
    <cfRule type="expression" dxfId="127" priority="170">
      <formula>$B103=3</formula>
    </cfRule>
    <cfRule type="expression" dxfId="126" priority="171">
      <formula>$B103=2</formula>
    </cfRule>
    <cfRule type="expression" dxfId="125" priority="172">
      <formula>$B103&lt;2</formula>
    </cfRule>
  </conditionalFormatting>
  <conditionalFormatting sqref="N81">
    <cfRule type="expression" dxfId="124" priority="550">
      <formula>_xlfn.ISFORMULA(N81)</formula>
    </cfRule>
  </conditionalFormatting>
  <conditionalFormatting sqref="O97:O98">
    <cfRule type="expression" dxfId="123" priority="290">
      <formula>$B97=3</formula>
    </cfRule>
    <cfRule type="expression" dxfId="122" priority="291">
      <formula>$B97=2</formula>
    </cfRule>
    <cfRule type="expression" dxfId="121" priority="292">
      <formula>$B97&lt;2</formula>
    </cfRule>
  </conditionalFormatting>
  <conditionalFormatting sqref="O97:O103">
    <cfRule type="expression" dxfId="120" priority="281">
      <formula>_xlfn.ISFORMULA(O97)</formula>
    </cfRule>
    <cfRule type="expression" dxfId="119" priority="282">
      <formula>$B97=3</formula>
    </cfRule>
    <cfRule type="expression" dxfId="118" priority="283">
      <formula>$B97=2</formula>
    </cfRule>
    <cfRule type="expression" dxfId="117" priority="284">
      <formula>$B97&lt;2</formula>
    </cfRule>
    <cfRule type="expression" dxfId="116" priority="285">
      <formula>$B97=0</formula>
    </cfRule>
  </conditionalFormatting>
  <conditionalFormatting sqref="O99:O103">
    <cfRule type="expression" dxfId="115" priority="278">
      <formula>$B99=3</formula>
    </cfRule>
    <cfRule type="expression" dxfId="114" priority="279">
      <formula>$B99=2</formula>
    </cfRule>
    <cfRule type="expression" dxfId="113" priority="280">
      <formula>$B99&lt;2</formula>
    </cfRule>
  </conditionalFormatting>
  <conditionalFormatting sqref="Q71:Q73">
    <cfRule type="expression" dxfId="112" priority="608">
      <formula>_xlfn.ISFORMULA(Q71)</formula>
    </cfRule>
  </conditionalFormatting>
  <conditionalFormatting sqref="Q97:Q103">
    <cfRule type="expression" dxfId="111" priority="107">
      <formula>_xlfn.ISFORMULA(Q97)</formula>
    </cfRule>
  </conditionalFormatting>
  <conditionalFormatting sqref="Q149">
    <cfRule type="expression" dxfId="110" priority="777">
      <formula>$B150=3</formula>
    </cfRule>
    <cfRule type="expression" dxfId="109" priority="778">
      <formula>$B150=2</formula>
    </cfRule>
    <cfRule type="expression" dxfId="108" priority="779">
      <formula>$B150&lt;2</formula>
    </cfRule>
    <cfRule type="expression" dxfId="107" priority="780">
      <formula>$B150=0</formula>
    </cfRule>
  </conditionalFormatting>
  <conditionalFormatting sqref="Q97:R98">
    <cfRule type="expression" dxfId="106" priority="258">
      <formula>$B97=3</formula>
    </cfRule>
    <cfRule type="expression" dxfId="105" priority="259">
      <formula>$B97=2</formula>
    </cfRule>
    <cfRule type="expression" dxfId="104" priority="260">
      <formula>$B97&lt;2</formula>
    </cfRule>
  </conditionalFormatting>
  <conditionalFormatting sqref="Q97:R100">
    <cfRule type="expression" dxfId="103" priority="251">
      <formula>$B97=3</formula>
    </cfRule>
    <cfRule type="expression" dxfId="102" priority="252">
      <formula>$B97=2</formula>
    </cfRule>
    <cfRule type="expression" dxfId="101" priority="253">
      <formula>$B97&lt;2</formula>
    </cfRule>
  </conditionalFormatting>
  <conditionalFormatting sqref="Q101:R101">
    <cfRule type="expression" dxfId="100" priority="100">
      <formula>$B101=3</formula>
    </cfRule>
    <cfRule type="expression" dxfId="99" priority="101">
      <formula>$B101=2</formula>
    </cfRule>
    <cfRule type="expression" dxfId="98" priority="102">
      <formula>$B101&lt;2</formula>
    </cfRule>
  </conditionalFormatting>
  <conditionalFormatting sqref="Q102:R102">
    <cfRule type="expression" dxfId="97" priority="20">
      <formula>$B102=3</formula>
    </cfRule>
    <cfRule type="expression" dxfId="96" priority="21">
      <formula>$B102=2</formula>
    </cfRule>
    <cfRule type="expression" dxfId="95" priority="22">
      <formula>$B102&lt;2</formula>
    </cfRule>
  </conditionalFormatting>
  <conditionalFormatting sqref="Q103:R103">
    <cfRule type="expression" dxfId="94" priority="93">
      <formula>$B103=3</formula>
    </cfRule>
    <cfRule type="expression" dxfId="93" priority="94">
      <formula>$B103=2</formula>
    </cfRule>
    <cfRule type="expression" dxfId="92" priority="95">
      <formula>$B103&lt;2</formula>
    </cfRule>
  </conditionalFormatting>
  <conditionalFormatting sqref="Q71:S73">
    <cfRule type="expression" dxfId="91" priority="612">
      <formula>$B71=0</formula>
    </cfRule>
  </conditionalFormatting>
  <conditionalFormatting sqref="Q99:S100">
    <cfRule type="expression" dxfId="90" priority="244">
      <formula>$B99=3</formula>
    </cfRule>
    <cfRule type="expression" dxfId="89" priority="245">
      <formula>$B99=2</formula>
    </cfRule>
    <cfRule type="expression" dxfId="88" priority="246">
      <formula>$B99&lt;2</formula>
    </cfRule>
  </conditionalFormatting>
  <conditionalFormatting sqref="Q101:S101">
    <cfRule type="expression" dxfId="87" priority="79">
      <formula>$B101=3</formula>
    </cfRule>
    <cfRule type="expression" dxfId="86" priority="80">
      <formula>$B101=2</formula>
    </cfRule>
    <cfRule type="expression" dxfId="85" priority="81">
      <formula>$B101&lt;2</formula>
    </cfRule>
  </conditionalFormatting>
  <conditionalFormatting sqref="Q102:S102">
    <cfRule type="expression" dxfId="84" priority="17">
      <formula>$B102=3</formula>
    </cfRule>
    <cfRule type="expression" dxfId="83" priority="18">
      <formula>$B102=2</formula>
    </cfRule>
    <cfRule type="expression" dxfId="82" priority="19">
      <formula>$B102&lt;2</formula>
    </cfRule>
  </conditionalFormatting>
  <conditionalFormatting sqref="Q103:S103">
    <cfRule type="expression" dxfId="81" priority="86">
      <formula>$B103=3</formula>
    </cfRule>
    <cfRule type="expression" dxfId="80" priority="87">
      <formula>$B103=2</formula>
    </cfRule>
    <cfRule type="expression" dxfId="79" priority="88">
      <formula>$B103&lt;2</formula>
    </cfRule>
  </conditionalFormatting>
  <conditionalFormatting sqref="Q97:T103">
    <cfRule type="expression" dxfId="78" priority="68">
      <formula>$B97=0</formula>
    </cfRule>
  </conditionalFormatting>
  <conditionalFormatting sqref="S97:S100">
    <cfRule type="expression" dxfId="77" priority="237">
      <formula>$B97=3</formula>
    </cfRule>
    <cfRule type="expression" dxfId="76" priority="238">
      <formula>$B97=2</formula>
    </cfRule>
    <cfRule type="expression" dxfId="75" priority="239">
      <formula>$B97&lt;2</formula>
    </cfRule>
  </conditionalFormatting>
  <conditionalFormatting sqref="S102">
    <cfRule type="expression" dxfId="74" priority="14">
      <formula>$B102=3</formula>
    </cfRule>
    <cfRule type="expression" dxfId="73" priority="15">
      <formula>$B102=2</formula>
    </cfRule>
    <cfRule type="expression" dxfId="72" priority="16">
      <formula>$B102&lt;2</formula>
    </cfRule>
  </conditionalFormatting>
  <conditionalFormatting sqref="S152">
    <cfRule type="expression" dxfId="71" priority="704">
      <formula>$B152=3</formula>
    </cfRule>
    <cfRule type="expression" dxfId="70" priority="705">
      <formula>$B152=2</formula>
    </cfRule>
    <cfRule type="expression" dxfId="69" priority="706">
      <formula>$B152&lt;2</formula>
    </cfRule>
    <cfRule type="expression" dxfId="68" priority="707">
      <formula>$B152=0</formula>
    </cfRule>
  </conditionalFormatting>
  <conditionalFormatting sqref="S156:S157">
    <cfRule type="expression" dxfId="67" priority="700">
      <formula>$B156=3</formula>
    </cfRule>
    <cfRule type="expression" dxfId="66" priority="701">
      <formula>$B156=2</formula>
    </cfRule>
    <cfRule type="expression" dxfId="65" priority="702">
      <formula>$B156&lt;2</formula>
    </cfRule>
    <cfRule type="expression" dxfId="64" priority="703">
      <formula>$B156=0</formula>
    </cfRule>
  </conditionalFormatting>
  <conditionalFormatting sqref="S97:T98">
    <cfRule type="expression" dxfId="63" priority="230">
      <formula>$B97=3</formula>
    </cfRule>
    <cfRule type="expression" dxfId="62" priority="231">
      <formula>$B97=2</formula>
    </cfRule>
    <cfRule type="expression" dxfId="61" priority="232">
      <formula>$B97&lt;2</formula>
    </cfRule>
  </conditionalFormatting>
  <conditionalFormatting sqref="S101:T101">
    <cfRule type="expression" dxfId="60" priority="69">
      <formula>$B101=3</formula>
    </cfRule>
    <cfRule type="expression" dxfId="59" priority="70">
      <formula>$B101=2</formula>
    </cfRule>
    <cfRule type="expression" dxfId="58" priority="71">
      <formula>$B101&lt;2</formula>
    </cfRule>
  </conditionalFormatting>
  <conditionalFormatting sqref="S103:T103">
    <cfRule type="expression" dxfId="57" priority="65">
      <formula>$B103=3</formula>
    </cfRule>
    <cfRule type="expression" dxfId="56" priority="66">
      <formula>$B103=2</formula>
    </cfRule>
    <cfRule type="expression" dxfId="55" priority="67">
      <formula>$B103&lt;2</formula>
    </cfRule>
  </conditionalFormatting>
  <conditionalFormatting sqref="S90:V93">
    <cfRule type="expression" dxfId="54" priority="601">
      <formula>$B90=0</formula>
    </cfRule>
  </conditionalFormatting>
  <conditionalFormatting sqref="S150:V151">
    <cfRule type="expression" dxfId="53" priority="664">
      <formula>$B150=3</formula>
    </cfRule>
    <cfRule type="expression" dxfId="52" priority="665">
      <formula>$B150=2</formula>
    </cfRule>
    <cfRule type="expression" dxfId="51" priority="666">
      <formula>$B150&lt;2</formula>
    </cfRule>
    <cfRule type="expression" dxfId="50" priority="667">
      <formula>$B150=0</formula>
    </cfRule>
  </conditionalFormatting>
  <conditionalFormatting sqref="T5">
    <cfRule type="expression" dxfId="49" priority="457">
      <formula>$B5=0</formula>
    </cfRule>
    <cfRule type="expression" dxfId="48" priority="458">
      <formula>$B5=3</formula>
    </cfRule>
    <cfRule type="expression" dxfId="47" priority="459">
      <formula>$B5=2</formula>
    </cfRule>
    <cfRule type="expression" dxfId="46" priority="460">
      <formula>$B5&lt;2</formula>
    </cfRule>
  </conditionalFormatting>
  <conditionalFormatting sqref="T6">
    <cfRule type="expression" dxfId="45" priority="1015">
      <formula>$B5=2</formula>
    </cfRule>
    <cfRule type="expression" dxfId="44" priority="1016">
      <formula>$B5&lt;2</formula>
    </cfRule>
    <cfRule type="expression" dxfId="43" priority="1018">
      <formula>$B5=0</formula>
    </cfRule>
    <cfRule type="expression" dxfId="42" priority="1020">
      <formula>$B5=3</formula>
    </cfRule>
  </conditionalFormatting>
  <conditionalFormatting sqref="T97:T100">
    <cfRule type="expression" dxfId="41" priority="223">
      <formula>$B97=3</formula>
    </cfRule>
    <cfRule type="expression" dxfId="40" priority="224">
      <formula>$B97=2</formula>
    </cfRule>
    <cfRule type="expression" dxfId="39" priority="225">
      <formula>$B97&lt;2</formula>
    </cfRule>
  </conditionalFormatting>
  <conditionalFormatting sqref="T99:T102">
    <cfRule type="expression" dxfId="38" priority="72">
      <formula>$B99=3</formula>
    </cfRule>
    <cfRule type="expression" dxfId="37" priority="73">
      <formula>$B99=2</formula>
    </cfRule>
    <cfRule type="expression" dxfId="36" priority="74">
      <formula>$B99&lt;2</formula>
    </cfRule>
  </conditionalFormatting>
  <conditionalFormatting sqref="T100">
    <cfRule type="expression" dxfId="35" priority="1">
      <formula>$B100=3</formula>
    </cfRule>
    <cfRule type="expression" dxfId="34" priority="2">
      <formula>$B100=2</formula>
    </cfRule>
    <cfRule type="expression" dxfId="33" priority="3">
      <formula>$B100&lt;2</formula>
    </cfRule>
  </conditionalFormatting>
  <conditionalFormatting sqref="T102:T103">
    <cfRule type="expression" dxfId="32" priority="11">
      <formula>$B102=3</formula>
    </cfRule>
    <cfRule type="expression" dxfId="31" priority="12">
      <formula>$B102=2</formula>
    </cfRule>
    <cfRule type="expression" dxfId="30" priority="13">
      <formula>$B102&lt;2</formula>
    </cfRule>
  </conditionalFormatting>
  <conditionalFormatting sqref="U106">
    <cfRule type="expression" dxfId="29" priority="785">
      <formula>$B105=3</formula>
    </cfRule>
    <cfRule type="expression" dxfId="28" priority="786">
      <formula>$B105=2</formula>
    </cfRule>
    <cfRule type="expression" dxfId="27" priority="787">
      <formula>$B105&lt;2</formula>
    </cfRule>
    <cfRule type="expression" dxfId="26" priority="788">
      <formula>$B105=0</formula>
    </cfRule>
  </conditionalFormatting>
  <conditionalFormatting sqref="U135:AG140">
    <cfRule type="expression" dxfId="25" priority="408">
      <formula>$B135=0</formula>
    </cfRule>
  </conditionalFormatting>
  <conditionalFormatting sqref="W97:W103">
    <cfRule type="expression" dxfId="24" priority="212">
      <formula>$B97=3</formula>
    </cfRule>
    <cfRule type="expression" dxfId="23" priority="213">
      <formula>$B97=2</formula>
    </cfRule>
    <cfRule type="expression" dxfId="22" priority="214">
      <formula>$B97&lt;2</formula>
    </cfRule>
    <cfRule type="expression" dxfId="21" priority="215">
      <formula>$B97=0</formula>
    </cfRule>
  </conditionalFormatting>
  <conditionalFormatting sqref="W76:AG82">
    <cfRule type="expression" dxfId="20" priority="505">
      <formula>$B76=3</formula>
    </cfRule>
    <cfRule type="expression" dxfId="19" priority="506">
      <formula>$B76=2</formula>
    </cfRule>
    <cfRule type="expression" dxfId="18" priority="507">
      <formula>$B76&lt;2</formula>
    </cfRule>
    <cfRule type="expression" dxfId="17" priority="508">
      <formula>$B76=0</formula>
    </cfRule>
  </conditionalFormatting>
  <conditionalFormatting sqref="W95:AG96 A145:G146 I145:R146 A147:R147">
    <cfRule type="expression" dxfId="16" priority="709">
      <formula>$B95=2</formula>
    </cfRule>
    <cfRule type="expression" dxfId="15" priority="710">
      <formula>$B95&lt;2</formula>
    </cfRule>
  </conditionalFormatting>
  <conditionalFormatting sqref="W106:AG108">
    <cfRule type="expression" dxfId="14" priority="484">
      <formula>$B106=0</formula>
    </cfRule>
  </conditionalFormatting>
  <conditionalFormatting sqref="W132:AG132">
    <cfRule type="expression" dxfId="13" priority="477">
      <formula>$B132=3</formula>
    </cfRule>
    <cfRule type="expression" dxfId="12" priority="478">
      <formula>$B132=2</formula>
    </cfRule>
    <cfRule type="expression" dxfId="11" priority="479">
      <formula>$B132&lt;2</formula>
    </cfRule>
    <cfRule type="expression" dxfId="10" priority="480">
      <formula>$B132=0</formula>
    </cfRule>
  </conditionalFormatting>
  <conditionalFormatting sqref="W135:AG140">
    <cfRule type="expression" dxfId="9" priority="405">
      <formula>$B135=3</formula>
    </cfRule>
    <cfRule type="expression" dxfId="8" priority="406">
      <formula>$B135=2</formula>
    </cfRule>
    <cfRule type="expression" dxfId="7" priority="407">
      <formula>$B135&lt;2</formula>
    </cfRule>
  </conditionalFormatting>
  <conditionalFormatting sqref="Z97:AG103">
    <cfRule type="expression" dxfId="6" priority="54">
      <formula>$B97=3</formula>
    </cfRule>
    <cfRule type="expression" dxfId="5" priority="55">
      <formula>$B97=2</formula>
    </cfRule>
    <cfRule type="expression" dxfId="4" priority="56">
      <formula>$B97&lt;2</formula>
    </cfRule>
    <cfRule type="expression" dxfId="3" priority="57">
      <formula>$B97=0</formula>
    </cfRule>
  </conditionalFormatting>
  <conditionalFormatting sqref="Z133:AG133">
    <cfRule type="expression" dxfId="2" priority="453">
      <formula>$B133=3</formula>
    </cfRule>
    <cfRule type="expression" dxfId="1" priority="454">
      <formula>$B133=2</formula>
    </cfRule>
    <cfRule type="expression" dxfId="0" priority="455">
      <formula>$B133&lt;2</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9" t="s">
        <v>418</v>
      </c>
      <c r="B1" s="158" t="s">
        <v>3</v>
      </c>
      <c r="C1" s="157" t="s">
        <v>419</v>
      </c>
    </row>
    <row r="2" spans="1:5" x14ac:dyDescent="0.2">
      <c r="A2" s="143"/>
      <c r="B2" s="143"/>
      <c r="C2" s="143"/>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420</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421</v>
      </c>
      <c r="C11" s="11">
        <v>225536.86</v>
      </c>
      <c r="E11" s="32"/>
    </row>
    <row r="12" spans="1:5" ht="16" customHeight="1" x14ac:dyDescent="0.2">
      <c r="A12" s="29">
        <v>217</v>
      </c>
      <c r="B12" s="10" t="s">
        <v>422</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423</v>
      </c>
      <c r="C15" s="11">
        <f>C16+C17+C18</f>
        <v>2004852</v>
      </c>
    </row>
    <row r="16" spans="1:5" ht="16" customHeight="1" x14ac:dyDescent="0.2">
      <c r="A16" s="29">
        <v>221.11</v>
      </c>
      <c r="B16" s="10" t="s">
        <v>424</v>
      </c>
      <c r="C16" s="11">
        <v>762382.4</v>
      </c>
    </row>
    <row r="17" spans="1:4" ht="16" customHeight="1" x14ac:dyDescent="0.2">
      <c r="A17" s="29">
        <v>221.12</v>
      </c>
      <c r="B17" s="14" t="s">
        <v>425</v>
      </c>
      <c r="C17" s="11">
        <v>1201688.6000000001</v>
      </c>
    </row>
    <row r="18" spans="1:4" ht="16" customHeight="1" x14ac:dyDescent="0.2">
      <c r="A18" s="29">
        <v>221.13</v>
      </c>
      <c r="B18" s="14" t="s">
        <v>426</v>
      </c>
      <c r="C18" s="11">
        <v>40781</v>
      </c>
    </row>
    <row r="19" spans="1:4" ht="16" customHeight="1" x14ac:dyDescent="0.2">
      <c r="A19" s="29">
        <v>221.2</v>
      </c>
      <c r="B19" s="14" t="s">
        <v>427</v>
      </c>
      <c r="C19" s="11">
        <f>C20</f>
        <v>2114223</v>
      </c>
    </row>
    <row r="20" spans="1:4" ht="17" customHeight="1" thickBot="1" x14ac:dyDescent="0.25">
      <c r="A20" s="29">
        <v>221.21</v>
      </c>
      <c r="B20" s="14" t="s">
        <v>428</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429</v>
      </c>
      <c r="C25" s="11">
        <f>C26+C30+C31</f>
        <v>4818221.5999999996</v>
      </c>
    </row>
    <row r="26" spans="1:4" ht="16" customHeight="1" x14ac:dyDescent="0.2">
      <c r="A26" s="29">
        <v>221.31</v>
      </c>
      <c r="B26" s="14" t="s">
        <v>236</v>
      </c>
      <c r="C26" s="11">
        <v>4170231</v>
      </c>
    </row>
    <row r="27" spans="1:4" ht="16" customHeight="1" x14ac:dyDescent="0.2">
      <c r="A27" s="31">
        <v>221.31100000000001</v>
      </c>
      <c r="B27" s="14" t="s">
        <v>430</v>
      </c>
      <c r="C27" s="11">
        <v>3200000</v>
      </c>
    </row>
    <row r="28" spans="1:4" ht="16" customHeight="1" x14ac:dyDescent="0.2">
      <c r="A28" s="31">
        <v>221.31200000000001</v>
      </c>
      <c r="B28" s="14" t="s">
        <v>431</v>
      </c>
      <c r="C28" s="11">
        <v>850000</v>
      </c>
    </row>
    <row r="29" spans="1:4" ht="16" customHeight="1" x14ac:dyDescent="0.2">
      <c r="A29" s="31">
        <v>221.31299999999999</v>
      </c>
      <c r="B29" s="14" t="s">
        <v>432</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433</v>
      </c>
      <c r="B32" s="10" t="s">
        <v>263</v>
      </c>
      <c r="C32" s="11">
        <f>C33+C34+C38+C39+C40</f>
        <v>5908950.5999999996</v>
      </c>
    </row>
    <row r="33" spans="1:3" ht="16" customHeight="1" x14ac:dyDescent="0.2">
      <c r="A33" s="29">
        <v>222.1</v>
      </c>
      <c r="B33" s="10" t="s">
        <v>434</v>
      </c>
      <c r="C33" s="11">
        <v>0</v>
      </c>
    </row>
    <row r="34" spans="1:3" ht="16" customHeight="1" x14ac:dyDescent="0.2">
      <c r="A34" s="29">
        <v>222.2</v>
      </c>
      <c r="B34" s="10" t="s">
        <v>435</v>
      </c>
      <c r="C34" s="11">
        <v>4890230.5999999996</v>
      </c>
    </row>
    <row r="35" spans="1:3" ht="16" customHeight="1" x14ac:dyDescent="0.2">
      <c r="A35" s="29">
        <v>222.21</v>
      </c>
      <c r="B35" s="10" t="s">
        <v>436</v>
      </c>
      <c r="C35" s="11">
        <v>1520786</v>
      </c>
    </row>
    <row r="36" spans="1:3" ht="32" customHeight="1" x14ac:dyDescent="0.2">
      <c r="A36" s="29">
        <v>222.22</v>
      </c>
      <c r="B36" s="10" t="s">
        <v>437</v>
      </c>
      <c r="C36" s="11">
        <v>3341486</v>
      </c>
    </row>
    <row r="37" spans="1:3" ht="32" customHeight="1" x14ac:dyDescent="0.2">
      <c r="A37" s="29">
        <v>222.23</v>
      </c>
      <c r="B37" s="10" t="s">
        <v>438</v>
      </c>
      <c r="C37" s="11">
        <v>27958.6</v>
      </c>
    </row>
    <row r="38" spans="1:3" ht="16" customHeight="1" x14ac:dyDescent="0.2">
      <c r="A38" s="29">
        <v>222.3</v>
      </c>
      <c r="B38" s="10" t="s">
        <v>288</v>
      </c>
      <c r="C38" s="11">
        <v>0</v>
      </c>
    </row>
    <row r="39" spans="1:3" ht="16" customHeight="1" x14ac:dyDescent="0.2">
      <c r="A39" s="29">
        <v>222.4</v>
      </c>
      <c r="B39" s="10" t="s">
        <v>439</v>
      </c>
      <c r="C39" s="11">
        <v>0</v>
      </c>
    </row>
    <row r="40" spans="1:3" ht="16" customHeight="1" x14ac:dyDescent="0.2">
      <c r="A40" s="29">
        <v>222.5</v>
      </c>
      <c r="B40" s="10" t="s">
        <v>440</v>
      </c>
      <c r="C40" s="11">
        <v>1018720</v>
      </c>
    </row>
    <row r="41" spans="1:3" ht="16" customHeight="1" x14ac:dyDescent="0.2">
      <c r="A41" s="29" t="s">
        <v>441</v>
      </c>
      <c r="B41" s="10" t="s">
        <v>442</v>
      </c>
      <c r="C41" s="11"/>
    </row>
    <row r="42" spans="1:3" ht="16" customHeight="1" x14ac:dyDescent="0.2">
      <c r="A42" s="29" t="s">
        <v>443</v>
      </c>
      <c r="B42" s="10" t="s">
        <v>317</v>
      </c>
      <c r="C42" s="11">
        <v>456297</v>
      </c>
    </row>
    <row r="43" spans="1:3" ht="16" customHeight="1" x14ac:dyDescent="0.2">
      <c r="A43" s="29" t="s">
        <v>444</v>
      </c>
      <c r="B43" s="10" t="s">
        <v>325</v>
      </c>
      <c r="C43" s="11">
        <v>2253208.37</v>
      </c>
    </row>
    <row r="44" spans="1:3" ht="16" customHeight="1" x14ac:dyDescent="0.2">
      <c r="A44" s="29" t="s">
        <v>445</v>
      </c>
      <c r="B44" s="10" t="s">
        <v>330</v>
      </c>
      <c r="C44" s="11">
        <v>30960</v>
      </c>
    </row>
    <row r="45" spans="1:3" ht="16" customHeight="1" x14ac:dyDescent="0.2">
      <c r="A45" s="29">
        <v>23</v>
      </c>
      <c r="B45" s="10" t="s">
        <v>446</v>
      </c>
      <c r="C45" s="11">
        <f>C46</f>
        <v>0</v>
      </c>
    </row>
    <row r="46" spans="1:3" ht="16" customHeight="1" x14ac:dyDescent="0.2">
      <c r="A46" s="29">
        <v>232</v>
      </c>
      <c r="B46" s="10" t="s">
        <v>332</v>
      </c>
      <c r="C46" s="11">
        <f>C47</f>
        <v>0</v>
      </c>
    </row>
    <row r="47" spans="1:3" ht="16" customHeight="1" x14ac:dyDescent="0.2">
      <c r="A47" s="29">
        <v>232.1</v>
      </c>
      <c r="B47" s="10" t="s">
        <v>333</v>
      </c>
      <c r="C47" s="11">
        <v>0</v>
      </c>
    </row>
    <row r="48" spans="1:3" ht="16" customHeight="1" x14ac:dyDescent="0.2">
      <c r="A48" s="29">
        <v>24</v>
      </c>
      <c r="B48" s="10" t="s">
        <v>340</v>
      </c>
      <c r="C48" s="11">
        <f>C49+C50+C51</f>
        <v>73415.62000000001</v>
      </c>
    </row>
    <row r="49" spans="1:3" ht="16" customHeight="1" x14ac:dyDescent="0.2">
      <c r="A49" s="29" t="s">
        <v>447</v>
      </c>
      <c r="B49" s="10" t="s">
        <v>448</v>
      </c>
      <c r="C49" s="11">
        <v>1627.02</v>
      </c>
    </row>
    <row r="50" spans="1:3" ht="16" customHeight="1" x14ac:dyDescent="0.2">
      <c r="A50" s="29" t="s">
        <v>449</v>
      </c>
      <c r="B50" s="10" t="s">
        <v>450</v>
      </c>
      <c r="C50" s="11">
        <v>0</v>
      </c>
    </row>
    <row r="51" spans="1:3" ht="16" customHeight="1" x14ac:dyDescent="0.2">
      <c r="A51" s="29" t="s">
        <v>451</v>
      </c>
      <c r="B51" s="10" t="s">
        <v>452</v>
      </c>
      <c r="C51" s="11">
        <v>71788.600000000006</v>
      </c>
    </row>
    <row r="52" spans="1:3" ht="16" customHeight="1" x14ac:dyDescent="0.2">
      <c r="A52" s="29">
        <v>25</v>
      </c>
      <c r="B52" s="10" t="s">
        <v>349</v>
      </c>
      <c r="C52" s="11">
        <f>C53</f>
        <v>9836580.5</v>
      </c>
    </row>
    <row r="53" spans="1:3" ht="16" customHeight="1" x14ac:dyDescent="0.2">
      <c r="A53" s="29" t="s">
        <v>453</v>
      </c>
      <c r="B53" s="10" t="s">
        <v>358</v>
      </c>
      <c r="C53" s="11">
        <v>9836580.5</v>
      </c>
    </row>
    <row r="54" spans="1:3" ht="16" customHeight="1" x14ac:dyDescent="0.2">
      <c r="A54" s="29">
        <v>26</v>
      </c>
      <c r="B54" s="10" t="s">
        <v>454</v>
      </c>
      <c r="C54" s="11"/>
    </row>
    <row r="55" spans="1:3" ht="16" customHeight="1" x14ac:dyDescent="0.2">
      <c r="A55" s="28">
        <v>30</v>
      </c>
      <c r="B55" s="12" t="s">
        <v>368</v>
      </c>
      <c r="C55" s="13">
        <f>C56+C58+C62+C65+C68</f>
        <v>6442742.523737831</v>
      </c>
    </row>
    <row r="56" spans="1:3" ht="16" customHeight="1" x14ac:dyDescent="0.2">
      <c r="A56" s="29">
        <v>31</v>
      </c>
      <c r="B56" s="10" t="s">
        <v>455</v>
      </c>
      <c r="C56" s="11">
        <f>C57</f>
        <v>1333020.8</v>
      </c>
    </row>
    <row r="57" spans="1:3" ht="16" customHeight="1" x14ac:dyDescent="0.2">
      <c r="A57" s="29">
        <v>317</v>
      </c>
      <c r="B57" s="10" t="s">
        <v>456</v>
      </c>
      <c r="C57" s="11">
        <v>1333020.8</v>
      </c>
    </row>
    <row r="58" spans="1:3" ht="16" customHeight="1" x14ac:dyDescent="0.2">
      <c r="A58" s="29">
        <v>33</v>
      </c>
      <c r="B58" s="10" t="s">
        <v>371</v>
      </c>
      <c r="C58" s="11">
        <f>C59</f>
        <v>2407166.4</v>
      </c>
    </row>
    <row r="59" spans="1:3" ht="16" customHeight="1" x14ac:dyDescent="0.2">
      <c r="A59" s="29">
        <v>331</v>
      </c>
      <c r="B59" s="10" t="s">
        <v>457</v>
      </c>
      <c r="C59" s="11">
        <f>C60+C61</f>
        <v>2407166.4</v>
      </c>
    </row>
    <row r="60" spans="1:3" ht="16" customHeight="1" x14ac:dyDescent="0.2">
      <c r="A60" s="29">
        <v>331.3</v>
      </c>
      <c r="B60" s="10" t="s">
        <v>458</v>
      </c>
      <c r="C60" s="11">
        <v>215000</v>
      </c>
    </row>
    <row r="61" spans="1:3" ht="16" customHeight="1" x14ac:dyDescent="0.2">
      <c r="A61" s="29">
        <v>331.5</v>
      </c>
      <c r="B61" s="10" t="s">
        <v>459</v>
      </c>
      <c r="C61" s="11">
        <v>2192166.4</v>
      </c>
    </row>
    <row r="62" spans="1:3" ht="16" customHeight="1" x14ac:dyDescent="0.2">
      <c r="A62" s="29">
        <v>34</v>
      </c>
      <c r="B62" s="10" t="s">
        <v>372</v>
      </c>
      <c r="C62" s="11">
        <f>C63+C64</f>
        <v>1665282.8</v>
      </c>
    </row>
    <row r="63" spans="1:3" ht="16" customHeight="1" x14ac:dyDescent="0.2">
      <c r="A63" s="29">
        <v>341</v>
      </c>
      <c r="B63" s="10" t="s">
        <v>460</v>
      </c>
      <c r="C63" s="11">
        <v>1635355.8</v>
      </c>
    </row>
    <row r="64" spans="1:3" ht="16" customHeight="1" x14ac:dyDescent="0.2">
      <c r="A64" s="29">
        <v>345</v>
      </c>
      <c r="B64" s="10" t="s">
        <v>461</v>
      </c>
      <c r="C64" s="11">
        <v>29927</v>
      </c>
    </row>
    <row r="65" spans="1:3" ht="16" customHeight="1" x14ac:dyDescent="0.2">
      <c r="A65" s="29">
        <v>35</v>
      </c>
      <c r="B65" s="10" t="s">
        <v>373</v>
      </c>
      <c r="C65" s="11">
        <f>C66+C67</f>
        <v>620313.58773783164</v>
      </c>
    </row>
    <row r="66" spans="1:3" ht="16" customHeight="1" x14ac:dyDescent="0.2">
      <c r="A66" s="29">
        <v>351</v>
      </c>
      <c r="B66" s="10" t="s">
        <v>462</v>
      </c>
      <c r="C66" s="11">
        <v>257261.4</v>
      </c>
    </row>
    <row r="67" spans="1:3" ht="16" customHeight="1" x14ac:dyDescent="0.2">
      <c r="A67" s="29">
        <v>352</v>
      </c>
      <c r="B67" s="10" t="s">
        <v>463</v>
      </c>
      <c r="C67" s="11">
        <v>363052.18773783161</v>
      </c>
    </row>
    <row r="68" spans="1:3" ht="16" customHeight="1" x14ac:dyDescent="0.2">
      <c r="A68" s="29">
        <v>36</v>
      </c>
      <c r="B68" s="10" t="s">
        <v>374</v>
      </c>
      <c r="C68" s="11">
        <f>C69+C70</f>
        <v>416958.9359999997</v>
      </c>
    </row>
    <row r="69" spans="1:3" ht="16" customHeight="1" x14ac:dyDescent="0.2">
      <c r="A69" s="29">
        <v>361</v>
      </c>
      <c r="B69" s="10" t="s">
        <v>462</v>
      </c>
      <c r="C69" s="11"/>
    </row>
    <row r="70" spans="1:3" ht="16" customHeight="1" x14ac:dyDescent="0.2">
      <c r="A70" s="29">
        <v>362</v>
      </c>
      <c r="B70" s="10" t="s">
        <v>463</v>
      </c>
      <c r="C70" s="11">
        <v>416958.9359999997</v>
      </c>
    </row>
    <row r="71" spans="1:3" ht="16" customHeight="1" x14ac:dyDescent="0.2">
      <c r="A71" s="28">
        <v>40</v>
      </c>
      <c r="B71" s="12" t="s">
        <v>464</v>
      </c>
      <c r="C71" s="13">
        <f>C72</f>
        <v>4169765</v>
      </c>
    </row>
    <row r="72" spans="1:3" ht="16" customHeight="1" x14ac:dyDescent="0.2">
      <c r="A72" s="29">
        <v>41</v>
      </c>
      <c r="B72" s="10" t="s">
        <v>465</v>
      </c>
      <c r="C72" s="11">
        <v>4169765</v>
      </c>
    </row>
    <row r="73" spans="1:3" ht="16" customHeight="1" x14ac:dyDescent="0.2">
      <c r="A73" s="28">
        <v>50</v>
      </c>
      <c r="B73" s="12" t="s">
        <v>466</v>
      </c>
      <c r="C73" s="13">
        <f>C74</f>
        <v>16408781.6</v>
      </c>
    </row>
    <row r="74" spans="1:3" ht="16" customHeight="1" x14ac:dyDescent="0.2">
      <c r="A74" s="29">
        <v>54</v>
      </c>
      <c r="B74" s="10" t="s">
        <v>467</v>
      </c>
      <c r="C74" s="11">
        <v>16408781.6</v>
      </c>
    </row>
    <row r="75" spans="1:3" ht="16" customHeight="1" x14ac:dyDescent="0.2">
      <c r="A75" s="28">
        <v>60</v>
      </c>
      <c r="B75" s="12" t="s">
        <v>379</v>
      </c>
      <c r="C75" s="13">
        <f>C76</f>
        <v>6160606</v>
      </c>
    </row>
    <row r="76" spans="1:3" ht="16" customHeight="1" x14ac:dyDescent="0.2">
      <c r="A76" s="29">
        <v>61</v>
      </c>
      <c r="B76" s="10" t="s">
        <v>468</v>
      </c>
      <c r="C76" s="11">
        <v>6160606</v>
      </c>
    </row>
    <row r="77" spans="1:3" ht="16" customHeight="1" x14ac:dyDescent="0.2">
      <c r="A77" s="29">
        <v>70</v>
      </c>
      <c r="B77" s="10" t="s">
        <v>381</v>
      </c>
      <c r="C77" s="11">
        <f>C78</f>
        <v>2456659.2000000002</v>
      </c>
    </row>
    <row r="78" spans="1:3" ht="16" customHeight="1" x14ac:dyDescent="0.2">
      <c r="A78" s="29">
        <v>71</v>
      </c>
      <c r="B78" s="10" t="s">
        <v>382</v>
      </c>
      <c r="C78" s="11">
        <v>2456659.2000000002</v>
      </c>
    </row>
    <row r="79" spans="1:3" ht="48" customHeight="1" x14ac:dyDescent="0.2">
      <c r="A79" s="14" t="s">
        <v>469</v>
      </c>
      <c r="B79" s="10" t="s">
        <v>469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470</v>
      </c>
      <c r="B1" s="18" t="s">
        <v>471</v>
      </c>
      <c r="C1" s="18" t="s">
        <v>14</v>
      </c>
      <c r="D1" s="18" t="s">
        <v>472</v>
      </c>
    </row>
    <row r="2" spans="1:4" ht="14" customHeight="1" thickBot="1" x14ac:dyDescent="0.25">
      <c r="A2" s="160" t="s">
        <v>473</v>
      </c>
      <c r="B2" s="161"/>
      <c r="C2" s="161"/>
      <c r="D2" s="162"/>
    </row>
    <row r="3" spans="1:4" ht="14" customHeight="1" thickBot="1" x14ac:dyDescent="0.25">
      <c r="A3" s="20" t="s">
        <v>474</v>
      </c>
      <c r="B3" s="5">
        <v>83</v>
      </c>
      <c r="C3" s="21" t="s">
        <v>475</v>
      </c>
      <c r="D3" s="21" t="s">
        <v>476</v>
      </c>
    </row>
    <row r="4" spans="1:4" ht="14" customHeight="1" thickBot="1" x14ac:dyDescent="0.25">
      <c r="A4" s="20" t="s">
        <v>477</v>
      </c>
      <c r="B4" s="5">
        <v>20</v>
      </c>
      <c r="C4" s="21" t="s">
        <v>478</v>
      </c>
      <c r="D4" s="21"/>
    </row>
    <row r="5" spans="1:4" ht="14" customHeight="1" thickBot="1" x14ac:dyDescent="0.25">
      <c r="A5" s="20" t="s">
        <v>479</v>
      </c>
      <c r="B5" s="5">
        <v>5.5</v>
      </c>
      <c r="C5" s="21" t="s">
        <v>480</v>
      </c>
      <c r="D5" s="21" t="s">
        <v>476</v>
      </c>
    </row>
    <row r="6" spans="1:4" ht="14" customHeight="1" thickBot="1" x14ac:dyDescent="0.25">
      <c r="A6" s="20" t="s">
        <v>481</v>
      </c>
      <c r="B6" s="5">
        <v>16.5</v>
      </c>
      <c r="C6" s="21" t="s">
        <v>480</v>
      </c>
      <c r="D6" s="21" t="s">
        <v>476</v>
      </c>
    </row>
    <row r="7" spans="1:4" ht="14" customHeight="1" thickBot="1" x14ac:dyDescent="0.25">
      <c r="A7" s="160" t="s">
        <v>361</v>
      </c>
      <c r="B7" s="161"/>
      <c r="C7" s="161"/>
      <c r="D7" s="162"/>
    </row>
    <row r="8" spans="1:4" ht="14" customHeight="1" thickBot="1" x14ac:dyDescent="0.25">
      <c r="A8" s="20" t="s">
        <v>482</v>
      </c>
      <c r="B8" s="5">
        <v>145.30000000000001</v>
      </c>
      <c r="C8" s="21" t="s">
        <v>483</v>
      </c>
      <c r="D8" s="21" t="s">
        <v>484</v>
      </c>
    </row>
    <row r="9" spans="1:4" ht="14" customHeight="1" thickBot="1" x14ac:dyDescent="0.25">
      <c r="A9" s="20" t="s">
        <v>485</v>
      </c>
      <c r="B9" s="5">
        <v>30</v>
      </c>
      <c r="C9" s="21" t="s">
        <v>486</v>
      </c>
      <c r="D9" s="21" t="s">
        <v>487</v>
      </c>
    </row>
    <row r="10" spans="1:4" ht="14" customHeight="1" thickBot="1" x14ac:dyDescent="0.25">
      <c r="A10" s="20" t="s">
        <v>488</v>
      </c>
      <c r="B10" s="5">
        <v>19.75</v>
      </c>
      <c r="C10" s="21" t="s">
        <v>486</v>
      </c>
      <c r="D10" s="21" t="s">
        <v>489</v>
      </c>
    </row>
    <row r="11" spans="1:4" ht="14" customHeight="1" thickBot="1" x14ac:dyDescent="0.25">
      <c r="A11" s="20" t="s">
        <v>490</v>
      </c>
      <c r="B11" s="5">
        <v>36</v>
      </c>
      <c r="C11" s="21" t="s">
        <v>491</v>
      </c>
      <c r="D11" s="21" t="s">
        <v>476</v>
      </c>
    </row>
    <row r="12" spans="1:4" ht="14" customHeight="1" thickBot="1" x14ac:dyDescent="0.25">
      <c r="A12" s="160" t="s">
        <v>236</v>
      </c>
      <c r="B12" s="161"/>
      <c r="C12" s="161"/>
      <c r="D12" s="162"/>
    </row>
    <row r="13" spans="1:4" ht="14" customHeight="1" thickBot="1" x14ac:dyDescent="0.25">
      <c r="A13" s="20" t="s">
        <v>492</v>
      </c>
      <c r="B13" s="5" t="s">
        <v>224</v>
      </c>
      <c r="C13" s="21" t="s">
        <v>476</v>
      </c>
      <c r="D13" s="21" t="s">
        <v>493</v>
      </c>
    </row>
    <row r="14" spans="1:4" ht="14" customHeight="1" thickBot="1" x14ac:dyDescent="0.25">
      <c r="A14" s="20" t="s">
        <v>494</v>
      </c>
      <c r="B14" s="5">
        <v>124</v>
      </c>
      <c r="C14" s="21" t="s">
        <v>491</v>
      </c>
      <c r="D14" s="21" t="s">
        <v>495</v>
      </c>
    </row>
    <row r="15" spans="1:4" ht="14" customHeight="1" thickBot="1" x14ac:dyDescent="0.25">
      <c r="A15" s="20" t="s">
        <v>496</v>
      </c>
      <c r="B15" s="5">
        <v>1</v>
      </c>
      <c r="C15" s="21" t="s">
        <v>480</v>
      </c>
      <c r="D15" s="21" t="s">
        <v>476</v>
      </c>
    </row>
    <row r="16" spans="1:4" ht="16" customHeight="1" thickBot="1" x14ac:dyDescent="0.25">
      <c r="A16" s="20" t="s">
        <v>497</v>
      </c>
      <c r="B16" s="5">
        <v>818.4</v>
      </c>
      <c r="C16" s="21" t="s">
        <v>498</v>
      </c>
      <c r="D16" s="21" t="s">
        <v>476</v>
      </c>
    </row>
    <row r="17" spans="1:4" ht="14" customHeight="1" thickBot="1" x14ac:dyDescent="0.25">
      <c r="A17" s="20" t="s">
        <v>499</v>
      </c>
      <c r="B17" s="5">
        <v>318</v>
      </c>
      <c r="C17" s="21" t="s">
        <v>188</v>
      </c>
      <c r="D17" s="21"/>
    </row>
    <row r="18" spans="1:4" ht="16" customHeight="1" thickBot="1" x14ac:dyDescent="0.25">
      <c r="A18" s="20" t="s">
        <v>500</v>
      </c>
      <c r="B18" s="5">
        <v>570</v>
      </c>
      <c r="C18" s="21" t="s">
        <v>498</v>
      </c>
      <c r="D18" s="21" t="s">
        <v>476</v>
      </c>
    </row>
    <row r="19" spans="1:4" ht="14" customHeight="1" thickBot="1" x14ac:dyDescent="0.25">
      <c r="A19" s="20" t="s">
        <v>501</v>
      </c>
      <c r="B19" s="5">
        <v>1.9E-2</v>
      </c>
      <c r="C19" s="21" t="s">
        <v>502</v>
      </c>
      <c r="D19" s="21" t="s">
        <v>476</v>
      </c>
    </row>
    <row r="20" spans="1:4" ht="14" customHeight="1" thickBot="1" x14ac:dyDescent="0.25">
      <c r="A20" s="160" t="s">
        <v>503</v>
      </c>
      <c r="B20" s="161"/>
      <c r="C20" s="161"/>
      <c r="D20" s="162"/>
    </row>
    <row r="21" spans="1:4" ht="14" customHeight="1" thickBot="1" x14ac:dyDescent="0.25">
      <c r="A21" s="20" t="s">
        <v>504</v>
      </c>
      <c r="B21" s="5">
        <v>4</v>
      </c>
      <c r="C21" s="21" t="s">
        <v>491</v>
      </c>
      <c r="D21" s="21" t="s">
        <v>476</v>
      </c>
    </row>
    <row r="22" spans="1:4" ht="14" customHeight="1" thickBot="1" x14ac:dyDescent="0.25">
      <c r="A22" s="20" t="s">
        <v>505</v>
      </c>
      <c r="B22" s="5">
        <v>1</v>
      </c>
      <c r="C22" s="21" t="s">
        <v>491</v>
      </c>
      <c r="D22" s="21" t="s">
        <v>476</v>
      </c>
    </row>
    <row r="23" spans="1:4" ht="14" customHeight="1" thickBot="1" x14ac:dyDescent="0.25">
      <c r="A23" s="20" t="s">
        <v>506</v>
      </c>
      <c r="B23" s="5">
        <v>124</v>
      </c>
      <c r="C23" s="21" t="s">
        <v>491</v>
      </c>
      <c r="D23" s="21" t="s">
        <v>507</v>
      </c>
    </row>
    <row r="24" spans="1:4" ht="14" customHeight="1" thickBot="1" x14ac:dyDescent="0.25">
      <c r="A24" s="20" t="s">
        <v>508</v>
      </c>
      <c r="B24" s="5">
        <v>1</v>
      </c>
      <c r="C24" s="21" t="s">
        <v>480</v>
      </c>
      <c r="D24" s="21" t="s">
        <v>476</v>
      </c>
    </row>
    <row r="25" spans="1:4" ht="16" customHeight="1" thickBot="1" x14ac:dyDescent="0.25">
      <c r="A25" s="20" t="s">
        <v>509</v>
      </c>
      <c r="B25" s="5">
        <v>880.8</v>
      </c>
      <c r="C25" s="21" t="s">
        <v>498</v>
      </c>
      <c r="D25" s="21" t="s">
        <v>510</v>
      </c>
    </row>
    <row r="26" spans="1:4" ht="14" customHeight="1" thickBot="1" x14ac:dyDescent="0.25">
      <c r="A26" s="20" t="s">
        <v>511</v>
      </c>
      <c r="B26" s="5">
        <v>309</v>
      </c>
      <c r="C26" s="21" t="s">
        <v>188</v>
      </c>
      <c r="D26" s="21" t="s">
        <v>476</v>
      </c>
    </row>
    <row r="27" spans="1:4" ht="18" customHeight="1" thickBot="1" x14ac:dyDescent="0.25">
      <c r="A27" s="20" t="s">
        <v>512</v>
      </c>
      <c r="B27" s="5">
        <v>49.2</v>
      </c>
      <c r="C27" s="21" t="s">
        <v>498</v>
      </c>
      <c r="D27" s="21" t="s">
        <v>513</v>
      </c>
    </row>
    <row r="28" spans="1:4" ht="14" customHeight="1" thickBot="1" x14ac:dyDescent="0.25">
      <c r="A28" s="20" t="s">
        <v>514</v>
      </c>
      <c r="B28" s="5">
        <v>14</v>
      </c>
      <c r="C28" s="21" t="s">
        <v>188</v>
      </c>
      <c r="D28" s="21" t="s">
        <v>476</v>
      </c>
    </row>
    <row r="29" spans="1:4" ht="18" customHeight="1" thickBot="1" x14ac:dyDescent="0.25">
      <c r="A29" s="20" t="s">
        <v>515</v>
      </c>
      <c r="B29" s="5">
        <v>14</v>
      </c>
      <c r="C29" s="21" t="s">
        <v>188</v>
      </c>
      <c r="D29" s="21" t="s">
        <v>513</v>
      </c>
    </row>
    <row r="30" spans="1:4" ht="14" customHeight="1" thickBot="1" x14ac:dyDescent="0.25">
      <c r="A30" s="160" t="s">
        <v>516</v>
      </c>
      <c r="B30" s="161"/>
      <c r="C30" s="161"/>
      <c r="D30" s="162"/>
    </row>
    <row r="31" spans="1:4" ht="14" customHeight="1" thickBot="1" x14ac:dyDescent="0.2">
      <c r="A31" s="20" t="s">
        <v>517</v>
      </c>
      <c r="B31" s="5">
        <v>5</v>
      </c>
      <c r="C31" s="22"/>
      <c r="D31" s="21" t="s">
        <v>476</v>
      </c>
    </row>
    <row r="32" spans="1:4" ht="14" customHeight="1" thickBot="1" x14ac:dyDescent="0.2">
      <c r="A32" s="20" t="s">
        <v>518</v>
      </c>
      <c r="B32" s="5">
        <v>2</v>
      </c>
      <c r="C32" s="22"/>
      <c r="D32" s="21" t="s">
        <v>476</v>
      </c>
    </row>
    <row r="33" spans="1:4" ht="14" customHeight="1" thickBot="1" x14ac:dyDescent="0.2">
      <c r="A33" s="20" t="s">
        <v>519</v>
      </c>
      <c r="B33" s="5">
        <v>9</v>
      </c>
      <c r="C33" s="22"/>
      <c r="D33" s="21" t="s">
        <v>476</v>
      </c>
    </row>
    <row r="34" spans="1:4" ht="14" customHeight="1" thickBot="1" x14ac:dyDescent="0.2">
      <c r="A34" s="20" t="s">
        <v>520</v>
      </c>
      <c r="B34" s="5">
        <v>213</v>
      </c>
      <c r="C34" s="22"/>
      <c r="D34" s="21" t="s">
        <v>476</v>
      </c>
    </row>
    <row r="35" spans="1:4" s="27" customFormat="1" ht="29" customHeight="1" thickBot="1" x14ac:dyDescent="0.25">
      <c r="A35" s="23" t="s">
        <v>521</v>
      </c>
      <c r="B35" s="24">
        <v>48</v>
      </c>
      <c r="C35" s="25" t="s">
        <v>476</v>
      </c>
      <c r="D35" s="26" t="s">
        <v>522</v>
      </c>
    </row>
    <row r="36" spans="1:4" s="27" customFormat="1" ht="14" customHeight="1" thickBot="1" x14ac:dyDescent="0.25">
      <c r="A36" s="23" t="s">
        <v>523</v>
      </c>
      <c r="B36" s="24">
        <v>277</v>
      </c>
      <c r="C36" s="25"/>
      <c r="D36" s="26"/>
    </row>
    <row r="37" spans="1:4" ht="14" customHeight="1" thickBot="1" x14ac:dyDescent="0.25">
      <c r="A37" s="160" t="s">
        <v>524</v>
      </c>
      <c r="B37" s="161"/>
      <c r="C37" s="161"/>
      <c r="D37" s="162"/>
    </row>
    <row r="38" spans="1:4" ht="14" customHeight="1" thickBot="1" x14ac:dyDescent="0.25">
      <c r="A38" s="20" t="s">
        <v>525</v>
      </c>
      <c r="B38" s="5">
        <v>54.2</v>
      </c>
      <c r="C38" s="21" t="s">
        <v>188</v>
      </c>
      <c r="D38" s="21" t="s">
        <v>526</v>
      </c>
    </row>
    <row r="39" spans="1:4" ht="14" customHeight="1" thickBot="1" x14ac:dyDescent="0.25">
      <c r="A39" s="20" t="s">
        <v>527</v>
      </c>
      <c r="B39" s="5">
        <v>56.3</v>
      </c>
      <c r="C39" s="21" t="s">
        <v>188</v>
      </c>
      <c r="D39" s="21" t="s">
        <v>528</v>
      </c>
    </row>
    <row r="40" spans="1:4" ht="14" customHeight="1" thickBot="1" x14ac:dyDescent="0.25">
      <c r="A40" s="20" t="s">
        <v>529</v>
      </c>
      <c r="B40" s="5">
        <v>39.700000000000003</v>
      </c>
      <c r="C40" s="21" t="s">
        <v>188</v>
      </c>
      <c r="D40" s="21" t="s">
        <v>530</v>
      </c>
    </row>
    <row r="41" spans="1:4" ht="14" customHeight="1" thickBot="1" x14ac:dyDescent="0.25">
      <c r="A41" s="20" t="s">
        <v>531</v>
      </c>
      <c r="B41" s="5">
        <v>95.3</v>
      </c>
      <c r="C41" s="21" t="s">
        <v>188</v>
      </c>
      <c r="D41" s="21" t="s">
        <v>532</v>
      </c>
    </row>
    <row r="42" spans="1:4" ht="14" customHeight="1" thickBot="1" x14ac:dyDescent="0.25">
      <c r="A42" s="20" t="s">
        <v>533</v>
      </c>
      <c r="B42" s="5">
        <v>2571.9</v>
      </c>
      <c r="C42" s="21" t="s">
        <v>188</v>
      </c>
      <c r="D42" s="21" t="s">
        <v>534</v>
      </c>
    </row>
    <row r="43" spans="1:4" ht="14" customHeight="1" thickBot="1" x14ac:dyDescent="0.25">
      <c r="A43" s="20" t="s">
        <v>535</v>
      </c>
      <c r="B43" s="5">
        <v>925.3</v>
      </c>
      <c r="C43" s="21" t="s">
        <v>188</v>
      </c>
      <c r="D43" s="21" t="s">
        <v>536</v>
      </c>
    </row>
    <row r="44" spans="1:4" ht="14" customHeight="1" thickBot="1" x14ac:dyDescent="0.25">
      <c r="A44" s="160" t="s">
        <v>537</v>
      </c>
      <c r="B44" s="161"/>
      <c r="C44" s="161"/>
      <c r="D44" s="162"/>
    </row>
    <row r="45" spans="1:4" ht="14" customHeight="1" thickBot="1" x14ac:dyDescent="0.25">
      <c r="A45" s="20" t="s">
        <v>538</v>
      </c>
      <c r="B45" s="5">
        <v>8.3000000000000007</v>
      </c>
      <c r="C45" s="21" t="s">
        <v>502</v>
      </c>
      <c r="D45" s="21" t="s">
        <v>539</v>
      </c>
    </row>
    <row r="46" spans="1:4" ht="14" customHeight="1" thickBot="1" x14ac:dyDescent="0.25">
      <c r="A46" s="160" t="s">
        <v>540</v>
      </c>
      <c r="B46" s="161"/>
      <c r="C46" s="161"/>
      <c r="D46" s="162"/>
    </row>
    <row r="47" spans="1:4" ht="14" customHeight="1" thickBot="1" x14ac:dyDescent="0.25">
      <c r="A47" s="20" t="s">
        <v>541</v>
      </c>
      <c r="B47" s="5">
        <v>156</v>
      </c>
      <c r="C47" s="21" t="s">
        <v>188</v>
      </c>
      <c r="D47" s="21" t="s">
        <v>542</v>
      </c>
    </row>
    <row r="48" spans="1:4" ht="14" customHeight="1" thickBot="1" x14ac:dyDescent="0.25">
      <c r="A48" s="20" t="s">
        <v>543</v>
      </c>
      <c r="B48" s="5">
        <v>4</v>
      </c>
      <c r="C48" s="21" t="s">
        <v>491</v>
      </c>
      <c r="D48" s="21" t="s">
        <v>544</v>
      </c>
    </row>
    <row r="49" spans="1:4" ht="14" customHeight="1" thickBot="1" x14ac:dyDescent="0.25">
      <c r="A49" s="20" t="s">
        <v>545</v>
      </c>
      <c r="B49" s="5">
        <v>0.86</v>
      </c>
      <c r="C49" s="21" t="s">
        <v>502</v>
      </c>
      <c r="D49" s="21" t="s">
        <v>546</v>
      </c>
    </row>
    <row r="50" spans="1:4" ht="14" customHeight="1" thickBot="1" x14ac:dyDescent="0.25">
      <c r="A50" s="160" t="s">
        <v>547</v>
      </c>
      <c r="B50" s="161"/>
      <c r="C50" s="161"/>
      <c r="D50" s="162"/>
    </row>
    <row r="51" spans="1:4" ht="14" customHeight="1" thickBot="1" x14ac:dyDescent="0.25">
      <c r="A51" s="20" t="s">
        <v>548</v>
      </c>
      <c r="B51" s="5">
        <v>1.1100000000000001</v>
      </c>
      <c r="C51" s="21" t="s">
        <v>502</v>
      </c>
      <c r="D51" s="21" t="s">
        <v>542</v>
      </c>
    </row>
    <row r="52" spans="1:4" ht="14" customHeight="1" thickBot="1" x14ac:dyDescent="0.25">
      <c r="A52" s="20" t="s">
        <v>549</v>
      </c>
      <c r="B52" s="5">
        <v>1.587</v>
      </c>
      <c r="C52" s="21" t="s">
        <v>502</v>
      </c>
      <c r="D52" s="21" t="s">
        <v>542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tabSelected="1" zoomScaleNormal="70" workbookViewId="0">
      <selection activeCell="A6" sqref="A6"/>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550</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AVERAGE(C3,E3)</f>
        <v>3.686341568331442</v>
      </c>
      <c r="J3" s="85"/>
      <c r="K3" s="85"/>
      <c r="L3" s="85"/>
      <c r="M3" s="85"/>
    </row>
    <row r="4" spans="1:13" x14ac:dyDescent="0.2">
      <c r="A4">
        <v>1986</v>
      </c>
      <c r="B4" s="85">
        <v>2.4877975582000915</v>
      </c>
      <c r="C4" s="85">
        <v>3.20862782859894</v>
      </c>
      <c r="D4" s="85">
        <v>3.1524764847449731</v>
      </c>
      <c r="E4" s="85">
        <v>3.957082035561005</v>
      </c>
      <c r="F4" s="2">
        <f t="shared" ref="F4:F42" si="0">(C4+D4+E4)/3</f>
        <v>3.4393954496349726</v>
      </c>
      <c r="G4" s="2">
        <f>AVERAGE(C4,E4)</f>
        <v>3.5828549320799725</v>
      </c>
      <c r="J4" s="85"/>
      <c r="K4" s="85"/>
      <c r="L4" s="85"/>
      <c r="M4" s="85"/>
    </row>
    <row r="5" spans="1:13" x14ac:dyDescent="0.2">
      <c r="A5">
        <v>1987</v>
      </c>
      <c r="B5" s="85">
        <v>2.4278242538033323</v>
      </c>
      <c r="C5" s="85">
        <v>3.111260504201681</v>
      </c>
      <c r="D5" s="85">
        <v>3.0891631494864971</v>
      </c>
      <c r="E5" s="85">
        <v>3.9210211421628185</v>
      </c>
      <c r="F5" s="2">
        <f t="shared" si="0"/>
        <v>3.3738149319503319</v>
      </c>
      <c r="G5" s="2">
        <f>AVERAGE(C5,E5)</f>
        <v>3.5161408231822495</v>
      </c>
      <c r="J5" s="85"/>
      <c r="K5" s="85"/>
      <c r="L5" s="85"/>
      <c r="M5" s="85"/>
    </row>
    <row r="6" spans="1:13" x14ac:dyDescent="0.2">
      <c r="A6">
        <v>1988</v>
      </c>
      <c r="B6" s="85">
        <v>2.3451469298145935</v>
      </c>
      <c r="C6" s="85">
        <v>2.9898250336473748</v>
      </c>
      <c r="D6" s="85">
        <v>2.9257907342027525</v>
      </c>
      <c r="E6" s="85">
        <v>3.7360351953690305</v>
      </c>
      <c r="F6" s="2">
        <f t="shared" si="0"/>
        <v>3.2172169877397194</v>
      </c>
      <c r="G6" s="2">
        <f>AVERAGE(C6,E6)</f>
        <v>3.3629301145082025</v>
      </c>
      <c r="J6" s="85"/>
      <c r="K6" s="85"/>
      <c r="L6" s="85"/>
      <c r="M6" s="85"/>
    </row>
    <row r="7" spans="1:13" x14ac:dyDescent="0.2">
      <c r="A7">
        <v>1989</v>
      </c>
      <c r="B7" s="85">
        <v>2.256518255453893</v>
      </c>
      <c r="C7" s="85">
        <v>2.8925000000000001</v>
      </c>
      <c r="D7" s="85">
        <v>2.8323254237288134</v>
      </c>
      <c r="E7" s="85">
        <v>3.5114258977149078</v>
      </c>
      <c r="F7" s="2">
        <f t="shared" si="0"/>
        <v>3.0787504404812402</v>
      </c>
      <c r="G7" s="2">
        <f>AVERAGE(C7,E7)</f>
        <v>3.2019629488574539</v>
      </c>
      <c r="J7" s="85"/>
      <c r="K7" s="85"/>
      <c r="L7" s="85"/>
      <c r="M7" s="85"/>
    </row>
    <row r="8" spans="1:13" x14ac:dyDescent="0.2">
      <c r="A8">
        <v>1990</v>
      </c>
      <c r="B8" s="85">
        <v>2.1749312244700096</v>
      </c>
      <c r="C8" s="85">
        <v>2.7652780082987554</v>
      </c>
      <c r="D8" s="85">
        <v>2.8289709906646228</v>
      </c>
      <c r="E8" s="85">
        <v>3.4175275615567915</v>
      </c>
      <c r="F8" s="2">
        <f t="shared" si="0"/>
        <v>3.0039255201733899</v>
      </c>
      <c r="G8" s="2">
        <f>AVERAGE(C8,E8)</f>
        <v>3.0914027849277734</v>
      </c>
      <c r="J8" s="85"/>
      <c r="K8" s="85"/>
      <c r="L8" s="85"/>
      <c r="M8" s="85"/>
    </row>
    <row r="9" spans="1:13" x14ac:dyDescent="0.2">
      <c r="A9">
        <v>1991</v>
      </c>
      <c r="B9" s="85">
        <v>2.1039170078457592</v>
      </c>
      <c r="C9" s="85">
        <v>2.6561658031088089</v>
      </c>
      <c r="D9" s="85">
        <v>2.8109545618164198</v>
      </c>
      <c r="E9" s="85">
        <v>3.3052945650086425</v>
      </c>
      <c r="F9" s="2">
        <f t="shared" si="0"/>
        <v>2.9241383099779572</v>
      </c>
      <c r="G9" s="2">
        <f>AVERAGE(C9,E9)</f>
        <v>2.9807301840587259</v>
      </c>
      <c r="J9" s="85"/>
      <c r="K9" s="85"/>
      <c r="L9" s="85"/>
      <c r="M9" s="85"/>
    </row>
    <row r="10" spans="1:13" x14ac:dyDescent="0.2">
      <c r="A10">
        <v>1992</v>
      </c>
      <c r="B10" s="85">
        <v>2.0570924604282124</v>
      </c>
      <c r="C10" s="85">
        <v>2.5740903823870216</v>
      </c>
      <c r="D10" s="85">
        <v>2.7621964220121074</v>
      </c>
      <c r="E10" s="85">
        <v>3.169357706709226</v>
      </c>
      <c r="F10" s="2">
        <f t="shared" si="0"/>
        <v>2.8352148370361179</v>
      </c>
      <c r="G10" s="2">
        <f>AVERAGE(C10,E10)</f>
        <v>2.8717240445481238</v>
      </c>
      <c r="J10" s="85"/>
      <c r="K10" s="85"/>
      <c r="L10" s="85"/>
      <c r="M10" s="85"/>
    </row>
    <row r="11" spans="1:13" x14ac:dyDescent="0.2">
      <c r="A11">
        <v>1993</v>
      </c>
      <c r="B11" s="85">
        <v>2.0094226515033498</v>
      </c>
      <c r="C11" s="85">
        <v>2.4922662677636498</v>
      </c>
      <c r="D11" s="85">
        <v>2.63135365474339</v>
      </c>
      <c r="E11" s="85">
        <v>2.9935068645640079</v>
      </c>
      <c r="F11" s="2">
        <f t="shared" si="0"/>
        <v>2.7057089290236824</v>
      </c>
      <c r="G11" s="2">
        <f>AVERAGE(C11,E11)</f>
        <v>2.7428865661638291</v>
      </c>
      <c r="J11" s="85"/>
      <c r="K11" s="85"/>
      <c r="L11" s="85"/>
      <c r="M11" s="85"/>
    </row>
    <row r="12" spans="1:13" x14ac:dyDescent="0.2">
      <c r="A12">
        <v>1994</v>
      </c>
      <c r="B12" s="85">
        <v>1.9674319707138495</v>
      </c>
      <c r="C12" s="85">
        <v>2.4032888568337532</v>
      </c>
      <c r="D12" s="85">
        <v>2.5281440418378782</v>
      </c>
      <c r="E12" s="85">
        <v>2.9062257345491385</v>
      </c>
      <c r="F12" s="2">
        <f t="shared" si="0"/>
        <v>2.6125528777402565</v>
      </c>
      <c r="G12" s="2">
        <f>AVERAGE(C12,E12)</f>
        <v>2.6547572956914456</v>
      </c>
      <c r="J12" s="85"/>
      <c r="K12" s="85"/>
      <c r="L12" s="85"/>
      <c r="M12" s="85"/>
    </row>
    <row r="13" spans="1:13" x14ac:dyDescent="0.2">
      <c r="A13">
        <v>1995</v>
      </c>
      <c r="B13" s="85">
        <v>1.9269731760698572</v>
      </c>
      <c r="C13" s="85">
        <v>2.3615591778880223</v>
      </c>
      <c r="D13" s="85">
        <v>2.4372516415581296</v>
      </c>
      <c r="E13" s="85">
        <v>2.8565425394190873</v>
      </c>
      <c r="F13" s="2">
        <f t="shared" si="0"/>
        <v>2.5517844529550797</v>
      </c>
      <c r="G13" s="2">
        <f>AVERAGE(C13,E13)</f>
        <v>2.6090508586535548</v>
      </c>
      <c r="J13" s="85"/>
      <c r="K13" s="85"/>
      <c r="L13" s="85"/>
      <c r="M13" s="85"/>
    </row>
    <row r="14" spans="1:13" x14ac:dyDescent="0.2">
      <c r="A14">
        <v>1996</v>
      </c>
      <c r="B14" s="85">
        <v>1.8923762750283335</v>
      </c>
      <c r="C14" s="85">
        <v>2.3036017974421017</v>
      </c>
      <c r="D14" s="85">
        <v>2.4234333731200772</v>
      </c>
      <c r="E14" s="85">
        <v>2.7957551656920079</v>
      </c>
      <c r="F14" s="2">
        <f t="shared" si="0"/>
        <v>2.5075967787513953</v>
      </c>
      <c r="G14" s="2">
        <f>AVERAGE(C14,E14)</f>
        <v>2.5496784815670548</v>
      </c>
      <c r="J14" s="85"/>
      <c r="K14" s="85"/>
      <c r="L14" s="85"/>
      <c r="M14" s="85"/>
    </row>
    <row r="15" spans="1:13" x14ac:dyDescent="0.2">
      <c r="A15">
        <v>1997</v>
      </c>
      <c r="B15" s="85">
        <v>1.8602733048250197</v>
      </c>
      <c r="C15" s="85">
        <v>2.2446345570899293</v>
      </c>
      <c r="D15" s="85">
        <v>2.3817848319549539</v>
      </c>
      <c r="E15" s="85">
        <v>2.7305519276534986</v>
      </c>
      <c r="F15" s="2">
        <f t="shared" si="0"/>
        <v>2.4523237722327944</v>
      </c>
      <c r="G15" s="2">
        <f>AVERAGE(C15,E15)</f>
        <v>2.4875932423717142</v>
      </c>
      <c r="J15" s="85"/>
      <c r="K15" s="85"/>
      <c r="L15" s="85"/>
      <c r="M15" s="85"/>
    </row>
    <row r="16" spans="1:13" x14ac:dyDescent="0.2">
      <c r="A16">
        <v>1998</v>
      </c>
      <c r="B16" s="85">
        <v>1.8396117820303</v>
      </c>
      <c r="C16" s="85">
        <v>2.177170859196341</v>
      </c>
      <c r="D16" s="85">
        <v>2.39343685017093</v>
      </c>
      <c r="E16" s="85">
        <v>2.6719109087145525</v>
      </c>
      <c r="F16" s="2">
        <f t="shared" si="0"/>
        <v>2.4141728726939413</v>
      </c>
      <c r="G16" s="2">
        <f>AVERAGE(C16,E16)</f>
        <v>2.424540883955447</v>
      </c>
      <c r="J16" s="85"/>
      <c r="K16" s="85"/>
      <c r="L16" s="85"/>
      <c r="M16" s="85"/>
    </row>
    <row r="17" spans="1:13" x14ac:dyDescent="0.2">
      <c r="A17">
        <v>1999</v>
      </c>
      <c r="B17" s="85">
        <v>1.8139669369185658</v>
      </c>
      <c r="C17" s="85">
        <v>2.1049652558433358</v>
      </c>
      <c r="D17" s="85">
        <v>2.3703840756523262</v>
      </c>
      <c r="E17" s="85">
        <v>2.6550113847894279</v>
      </c>
      <c r="F17" s="2">
        <f t="shared" si="0"/>
        <v>2.3767869054283635</v>
      </c>
      <c r="G17" s="2">
        <f>AVERAGE(C17,E17)</f>
        <v>2.3799883203163819</v>
      </c>
      <c r="J17" s="85"/>
      <c r="K17" s="85"/>
      <c r="L17" s="85"/>
      <c r="M17" s="85"/>
    </row>
    <row r="18" spans="1:13" x14ac:dyDescent="0.2">
      <c r="A18">
        <v>2000</v>
      </c>
      <c r="B18" s="85">
        <v>1.7737677053824359</v>
      </c>
      <c r="C18" s="85">
        <v>2.0073253012048196</v>
      </c>
      <c r="D18" s="85">
        <v>2.3476354049835226</v>
      </c>
      <c r="E18" s="85">
        <v>2.626914596794709</v>
      </c>
      <c r="F18" s="2">
        <f t="shared" si="0"/>
        <v>2.3272917676610168</v>
      </c>
      <c r="G18" s="2">
        <f>AVERAGE(C18,E18)</f>
        <v>2.317119948999764</v>
      </c>
      <c r="J18" s="85"/>
      <c r="K18" s="85"/>
      <c r="L18" s="85"/>
      <c r="M18" s="85"/>
    </row>
    <row r="19" spans="1:13" x14ac:dyDescent="0.2">
      <c r="A19">
        <v>2001</v>
      </c>
      <c r="B19" s="85">
        <v>1.7346114484363127</v>
      </c>
      <c r="C19" s="85">
        <v>1.917238204833142</v>
      </c>
      <c r="D19" s="85">
        <v>2.3696924369747889</v>
      </c>
      <c r="E19" s="85">
        <v>2.5433233042707251</v>
      </c>
      <c r="F19" s="2">
        <f t="shared" si="0"/>
        <v>2.2767513153595522</v>
      </c>
      <c r="G19" s="2">
        <f>AVERAGE(C19,E19)</f>
        <v>2.2302807545519334</v>
      </c>
      <c r="J19" s="85"/>
      <c r="K19" s="85"/>
      <c r="L19" s="85"/>
      <c r="M19" s="85"/>
    </row>
    <row r="20" spans="1:13" x14ac:dyDescent="0.2">
      <c r="A20">
        <v>2002</v>
      </c>
      <c r="B20" s="85">
        <v>1.7080973994802269</v>
      </c>
      <c r="C20" s="85">
        <v>1.8542904841402346</v>
      </c>
      <c r="D20" s="85">
        <v>2.3498090156819624</v>
      </c>
      <c r="E20" s="85">
        <v>2.5197406861548979</v>
      </c>
      <c r="F20" s="2">
        <f t="shared" si="0"/>
        <v>2.2412800619923652</v>
      </c>
      <c r="G20" s="2">
        <f>AVERAGE(C20,E20)</f>
        <v>2.1870155851475661</v>
      </c>
      <c r="J20" s="85"/>
      <c r="K20" s="85"/>
      <c r="L20" s="85"/>
      <c r="M20" s="85"/>
    </row>
    <row r="21" spans="1:13" x14ac:dyDescent="0.2">
      <c r="A21">
        <v>2003</v>
      </c>
      <c r="B21" s="85">
        <v>1.6751332309520488</v>
      </c>
      <c r="C21" s="85">
        <v>1.79052122514777</v>
      </c>
      <c r="D21" s="85">
        <v>2.3002917124568065</v>
      </c>
      <c r="E21" s="85">
        <v>2.4774246149417012</v>
      </c>
      <c r="F21" s="2">
        <f t="shared" si="0"/>
        <v>2.189412517515426</v>
      </c>
      <c r="G21" s="2">
        <f>AVERAGE(C21,E21)</f>
        <v>2.1339729200447355</v>
      </c>
      <c r="J21" s="85"/>
      <c r="K21" s="85"/>
      <c r="L21" s="85"/>
      <c r="M21" s="85"/>
    </row>
    <row r="22" spans="1:13" x14ac:dyDescent="0.2">
      <c r="A22">
        <v>2004</v>
      </c>
      <c r="B22" s="85">
        <v>1.6312740609586438</v>
      </c>
      <c r="C22" s="85">
        <v>1.7391231732776615</v>
      </c>
      <c r="D22" s="85">
        <v>2.095631398049234</v>
      </c>
      <c r="E22" s="85">
        <v>2.3858419851208348</v>
      </c>
      <c r="F22" s="2">
        <f t="shared" si="0"/>
        <v>2.0735321854825766</v>
      </c>
      <c r="G22" s="2">
        <f>AVERAGE(C22,E22)</f>
        <v>2.0624825791992483</v>
      </c>
      <c r="J22" s="85"/>
      <c r="K22" s="85"/>
      <c r="L22" s="85"/>
      <c r="M22" s="85"/>
    </row>
    <row r="23" spans="1:13" x14ac:dyDescent="0.2">
      <c r="A23">
        <v>2005</v>
      </c>
      <c r="B23" s="85">
        <v>1.5816414831164449</v>
      </c>
      <c r="C23" s="85">
        <v>1.6833341752967916</v>
      </c>
      <c r="D23" s="85">
        <v>1.9957266230893989</v>
      </c>
      <c r="E23" s="85">
        <v>2.2928196811581327</v>
      </c>
      <c r="F23" s="2">
        <f t="shared" si="0"/>
        <v>1.9906268265147744</v>
      </c>
      <c r="G23" s="2">
        <f>AVERAGE(C23,E23)</f>
        <v>1.9880769282274622</v>
      </c>
      <c r="J23" s="85"/>
      <c r="K23" s="85"/>
      <c r="L23" s="85"/>
      <c r="M23" s="85"/>
    </row>
    <row r="24" spans="1:13" x14ac:dyDescent="0.2">
      <c r="A24">
        <v>2006</v>
      </c>
      <c r="B24" s="85">
        <v>1.5342735134234977</v>
      </c>
      <c r="C24" s="85">
        <v>1.6286217008797654</v>
      </c>
      <c r="D24" s="85">
        <v>1.8774353691802672</v>
      </c>
      <c r="E24" s="85">
        <v>2.1163260400868955</v>
      </c>
      <c r="F24" s="2">
        <f t="shared" si="0"/>
        <v>1.8741277033823094</v>
      </c>
      <c r="G24" s="2">
        <f>AVERAGE(C24,E24)</f>
        <v>1.8724738704833306</v>
      </c>
      <c r="J24" s="85"/>
      <c r="K24" s="85"/>
      <c r="L24" s="85"/>
      <c r="M24" s="85"/>
    </row>
    <row r="25" spans="1:13" x14ac:dyDescent="0.2">
      <c r="A25">
        <v>2007</v>
      </c>
      <c r="B25" s="85">
        <v>1.4938223763832508</v>
      </c>
      <c r="C25" s="85">
        <v>1.5673377234242709</v>
      </c>
      <c r="D25" s="85">
        <v>1.8473704381056368</v>
      </c>
      <c r="E25" s="85">
        <v>1.9426595831138538</v>
      </c>
      <c r="F25" s="2">
        <f t="shared" si="0"/>
        <v>1.7857892482145872</v>
      </c>
      <c r="G25" s="2">
        <f>AVERAGE(C25,E25)</f>
        <v>1.7549986532690625</v>
      </c>
      <c r="J25" s="85"/>
      <c r="K25" s="85"/>
      <c r="L25" s="85"/>
      <c r="M25" s="85"/>
    </row>
    <row r="26" spans="1:13" x14ac:dyDescent="0.2">
      <c r="A26">
        <v>2008</v>
      </c>
      <c r="B26" s="85">
        <v>1.4654662065243631</v>
      </c>
      <c r="C26" s="85">
        <v>1.5132425068119892</v>
      </c>
      <c r="D26" s="85">
        <v>1.7226084757985836</v>
      </c>
      <c r="E26" s="85">
        <v>1.8946134742404235</v>
      </c>
      <c r="F26" s="2">
        <f t="shared" si="0"/>
        <v>1.7101548189503319</v>
      </c>
      <c r="G26" s="2">
        <f>AVERAGE(C26,E26)</f>
        <v>1.7039279905262064</v>
      </c>
      <c r="J26" s="85"/>
      <c r="K26" s="85"/>
      <c r="L26" s="85"/>
      <c r="M26" s="85"/>
    </row>
    <row r="27" spans="1:13" x14ac:dyDescent="0.2">
      <c r="A27">
        <v>2009</v>
      </c>
      <c r="B27" s="85">
        <v>1.4565465062771543</v>
      </c>
      <c r="C27" s="85">
        <v>1.4969272237196765</v>
      </c>
      <c r="D27" s="85">
        <v>1.7887780097793047</v>
      </c>
      <c r="E27" s="85">
        <v>1.8701827875977977</v>
      </c>
      <c r="F27" s="2">
        <f t="shared" si="0"/>
        <v>1.7186293403655928</v>
      </c>
      <c r="G27" s="2">
        <f>AVERAGE(C27,E27)</f>
        <v>1.6835550056587372</v>
      </c>
      <c r="J27" s="85"/>
      <c r="K27" s="85"/>
      <c r="L27" s="85"/>
      <c r="M27" s="85"/>
    </row>
    <row r="28" spans="1:13" x14ac:dyDescent="0.2">
      <c r="A28">
        <v>2010</v>
      </c>
      <c r="B28" s="85">
        <v>1.4391051953340734</v>
      </c>
      <c r="C28" s="85">
        <v>1.4809600000000001</v>
      </c>
      <c r="D28" s="85">
        <v>1.7398050385604107</v>
      </c>
      <c r="E28" s="85">
        <v>1.8817700415482179</v>
      </c>
      <c r="F28" s="2">
        <f t="shared" si="0"/>
        <v>1.7008450267028763</v>
      </c>
      <c r="G28" s="2">
        <f>AVERAGE(C28,E28)</f>
        <v>1.6813650207741091</v>
      </c>
      <c r="J28" s="85"/>
      <c r="K28" s="85"/>
      <c r="L28" s="85"/>
      <c r="M28" s="85"/>
    </row>
    <row r="29" spans="1:13" x14ac:dyDescent="0.2">
      <c r="A29">
        <v>2011</v>
      </c>
      <c r="B29" s="85">
        <v>1.410005547766819</v>
      </c>
      <c r="C29" s="85">
        <v>1.46532981530343</v>
      </c>
      <c r="D29" s="85">
        <v>1.682496357986327</v>
      </c>
      <c r="E29" s="85">
        <v>1.804179411559159</v>
      </c>
      <c r="F29" s="2">
        <f t="shared" si="0"/>
        <v>1.6506685282829718</v>
      </c>
      <c r="G29" s="2">
        <f>AVERAGE(C29,E29)</f>
        <v>1.6347546134312945</v>
      </c>
      <c r="J29" s="85"/>
      <c r="K29" s="85"/>
      <c r="L29" s="85"/>
      <c r="M29" s="85"/>
    </row>
    <row r="30" spans="1:13" x14ac:dyDescent="0.2">
      <c r="A30">
        <v>2012</v>
      </c>
      <c r="B30" s="85">
        <v>1.3842025680512111</v>
      </c>
      <c r="C30" s="85">
        <v>1.4424935064935065</v>
      </c>
      <c r="D30" s="85">
        <v>1.6440766670715414</v>
      </c>
      <c r="E30" s="85">
        <v>1.6867141354415081</v>
      </c>
      <c r="F30" s="2">
        <f t="shared" si="0"/>
        <v>1.591094769668852</v>
      </c>
      <c r="G30" s="2">
        <f>AVERAGE(C30,E30)</f>
        <v>1.5646038209675073</v>
      </c>
      <c r="J30" s="85"/>
      <c r="K30" s="85"/>
      <c r="L30" s="85"/>
      <c r="M30" s="85"/>
    </row>
    <row r="31" spans="1:13" x14ac:dyDescent="0.2">
      <c r="A31">
        <v>2013</v>
      </c>
      <c r="B31" s="85">
        <v>1.3610697788529236</v>
      </c>
      <c r="C31" s="85">
        <v>1.413129770992366</v>
      </c>
      <c r="D31" s="85">
        <v>1.6169732648429098</v>
      </c>
      <c r="E31" s="85">
        <v>1.6270248440158814</v>
      </c>
      <c r="F31" s="2">
        <f t="shared" si="0"/>
        <v>1.5523759599503857</v>
      </c>
      <c r="G31" s="2">
        <f>AVERAGE(C31,E31)</f>
        <v>1.5200773075041236</v>
      </c>
      <c r="J31" s="85"/>
      <c r="K31" s="85"/>
      <c r="L31" s="85"/>
      <c r="M31" s="85"/>
    </row>
    <row r="32" spans="1:13" x14ac:dyDescent="0.2">
      <c r="A32">
        <v>2014</v>
      </c>
      <c r="B32" s="85">
        <v>1.3377880342057635</v>
      </c>
      <c r="C32" s="85">
        <v>1.3930434782608698</v>
      </c>
      <c r="D32" s="85">
        <v>1.5779532758218697</v>
      </c>
      <c r="E32" s="85">
        <v>1.5664099993932403</v>
      </c>
      <c r="F32" s="2">
        <f t="shared" si="0"/>
        <v>1.5124689178253268</v>
      </c>
      <c r="G32" s="2">
        <f>AVERAGE(C32,E32)</f>
        <v>1.479726738827055</v>
      </c>
      <c r="J32" s="85"/>
      <c r="K32" s="85"/>
      <c r="L32" s="85"/>
      <c r="M32" s="85"/>
    </row>
    <row r="33" spans="1:13" x14ac:dyDescent="0.2">
      <c r="A33">
        <v>2015</v>
      </c>
      <c r="B33" s="85">
        <v>1.3254431765050427</v>
      </c>
      <c r="C33" s="85">
        <v>1.3645208845208845</v>
      </c>
      <c r="D33" s="85">
        <v>1.5846653502439025</v>
      </c>
      <c r="E33" s="85">
        <v>1.5228434272231235</v>
      </c>
      <c r="F33" s="2">
        <f t="shared" si="0"/>
        <v>1.4906765539959703</v>
      </c>
      <c r="G33" s="2">
        <f>AVERAGE(C33,E33)</f>
        <v>1.4436821558720041</v>
      </c>
      <c r="J33" s="85"/>
      <c r="K33" s="85"/>
      <c r="L33" s="85"/>
      <c r="M33" s="85"/>
    </row>
    <row r="34" spans="1:13" x14ac:dyDescent="0.2">
      <c r="A34">
        <v>2016</v>
      </c>
      <c r="B34" s="85">
        <v>1.3129865046787002</v>
      </c>
      <c r="C34" s="85">
        <v>1.3360705693664796</v>
      </c>
      <c r="D34" s="85">
        <v>1.5820722951649981</v>
      </c>
      <c r="E34" s="85">
        <v>1.5002326359832638</v>
      </c>
      <c r="F34" s="2">
        <f t="shared" si="0"/>
        <v>1.4727918335049139</v>
      </c>
      <c r="G34" s="2">
        <f>AVERAGE(C34,E34)</f>
        <v>1.4181516026748717</v>
      </c>
      <c r="J34" s="85"/>
      <c r="K34" s="85"/>
      <c r="L34" s="85"/>
      <c r="M34" s="85"/>
    </row>
    <row r="35" spans="1:13" x14ac:dyDescent="0.2">
      <c r="A35">
        <v>2017</v>
      </c>
      <c r="B35" s="85">
        <v>1.2899128956447818</v>
      </c>
      <c r="C35" s="85">
        <v>1.3036619718309856</v>
      </c>
      <c r="D35" s="85">
        <v>1.5267530022182951</v>
      </c>
      <c r="E35" s="85">
        <v>1.4653613282247768</v>
      </c>
      <c r="F35" s="2">
        <f t="shared" si="0"/>
        <v>1.4319254340913525</v>
      </c>
      <c r="G35" s="2">
        <f>AVERAGE(C35,E35)</f>
        <v>1.3845116500278811</v>
      </c>
      <c r="J35" s="85"/>
      <c r="K35" s="85"/>
      <c r="L35" s="85"/>
      <c r="M35" s="85"/>
    </row>
    <row r="36" spans="1:13" x14ac:dyDescent="0.2">
      <c r="A36">
        <v>2018</v>
      </c>
      <c r="B36" s="85">
        <v>1.2609998753516423</v>
      </c>
      <c r="C36" s="85">
        <v>1.2689108910891089</v>
      </c>
      <c r="D36" s="85">
        <v>1.4353852810180274</v>
      </c>
      <c r="E36" s="85">
        <v>1.4135685922356678</v>
      </c>
      <c r="F36" s="2">
        <f t="shared" si="0"/>
        <v>1.372621588114268</v>
      </c>
      <c r="G36" s="2">
        <f>AVERAGE(C36,E36)</f>
        <v>1.3412397416623882</v>
      </c>
      <c r="J36" s="85"/>
      <c r="K36" s="85"/>
      <c r="L36" s="85"/>
      <c r="M36" s="85"/>
    </row>
    <row r="37" spans="1:13" x14ac:dyDescent="0.2">
      <c r="A37">
        <v>2019</v>
      </c>
      <c r="B37" s="85">
        <v>1.2401941276155908</v>
      </c>
      <c r="C37" s="85">
        <v>1.2304874446085676</v>
      </c>
      <c r="D37" s="85">
        <v>1.4355375119312761</v>
      </c>
      <c r="E37" s="85">
        <v>1.3779926445861912</v>
      </c>
      <c r="F37" s="2">
        <f t="shared" si="0"/>
        <v>1.3480058670420119</v>
      </c>
      <c r="G37" s="2">
        <f>AVERAGE(C37,E37)</f>
        <v>1.3042400445973794</v>
      </c>
      <c r="J37" s="85"/>
      <c r="K37" s="85"/>
      <c r="L37" s="85"/>
      <c r="M37" s="85"/>
    </row>
    <row r="38" spans="1:13" x14ac:dyDescent="0.2">
      <c r="A38">
        <v>2020</v>
      </c>
      <c r="B38" s="85">
        <v>1.224159975703738</v>
      </c>
      <c r="C38" s="85">
        <v>1.1968965517241377</v>
      </c>
      <c r="D38" s="85">
        <v>1.4147811859800681</v>
      </c>
      <c r="E38" s="85">
        <v>1.3590946670176363</v>
      </c>
      <c r="F38" s="2">
        <f t="shared" si="0"/>
        <v>1.3235908015739473</v>
      </c>
      <c r="G38" s="2">
        <f>AVERAGE(C38,E38)</f>
        <v>1.2779956093708869</v>
      </c>
      <c r="J38" s="85"/>
      <c r="K38" s="85"/>
      <c r="L38" s="85"/>
      <c r="M38" s="85"/>
    </row>
    <row r="39" spans="1:13" x14ac:dyDescent="0.2">
      <c r="A39">
        <v>2021</v>
      </c>
      <c r="B39" s="85">
        <v>1.1706180273675468</v>
      </c>
      <c r="C39" s="85">
        <v>1.1618410041841003</v>
      </c>
      <c r="D39" s="85">
        <v>1.1152862890567385</v>
      </c>
      <c r="E39" s="85">
        <v>1.2994960627780956</v>
      </c>
      <c r="F39" s="2">
        <f t="shared" si="0"/>
        <v>1.1922077853396449</v>
      </c>
      <c r="G39" s="2">
        <f>AVERAGE(C39,E39)</f>
        <v>1.2306685334810981</v>
      </c>
      <c r="J39" s="85"/>
      <c r="K39" s="85"/>
      <c r="L39" s="85"/>
      <c r="M39" s="85"/>
    </row>
    <row r="40" spans="1:13" x14ac:dyDescent="0.2">
      <c r="A40">
        <v>2022</v>
      </c>
      <c r="B40" s="85">
        <v>1.0934138655239569</v>
      </c>
      <c r="C40" s="85">
        <v>1.1166756032171583</v>
      </c>
      <c r="D40" s="85">
        <v>0.99080274028956195</v>
      </c>
      <c r="E40" s="85">
        <v>1.1498296122510112</v>
      </c>
      <c r="F40" s="2">
        <f t="shared" si="0"/>
        <v>1.0857693185859105</v>
      </c>
      <c r="G40" s="2">
        <f>AVERAGE(C40,E40)</f>
        <v>1.1332526077340848</v>
      </c>
      <c r="J40" s="85"/>
      <c r="K40" s="85"/>
      <c r="L40" s="85"/>
      <c r="M40" s="85"/>
    </row>
    <row r="41" spans="1:13" x14ac:dyDescent="0.2">
      <c r="A41">
        <v>2023</v>
      </c>
      <c r="B41" s="85">
        <v>1.0549612726454833</v>
      </c>
      <c r="C41" s="85">
        <v>1.0707455012853477</v>
      </c>
      <c r="D41" s="85">
        <v>1.0199168133484435</v>
      </c>
      <c r="E41" s="85">
        <v>1.0652117467060798</v>
      </c>
      <c r="F41" s="2">
        <f t="shared" si="0"/>
        <v>1.0519580204466237</v>
      </c>
      <c r="G41" s="2">
        <f>AVERAGE(C41,E41)</f>
        <v>1.0679786239957139</v>
      </c>
      <c r="J41" s="85"/>
      <c r="K41" s="85"/>
      <c r="L41" s="85"/>
      <c r="M41" s="85"/>
    </row>
    <row r="42" spans="1:13" x14ac:dyDescent="0.2">
      <c r="A42">
        <v>2024</v>
      </c>
      <c r="B42" s="85">
        <v>1.03</v>
      </c>
      <c r="C42" s="85">
        <v>1.04</v>
      </c>
      <c r="D42" s="85">
        <v>1.03</v>
      </c>
      <c r="E42" s="85">
        <v>1.06</v>
      </c>
      <c r="F42" s="2">
        <f t="shared" si="0"/>
        <v>1.0433333333333334</v>
      </c>
      <c r="G42" s="2">
        <f>AVERAGE(C42,E42)</f>
        <v>1.05</v>
      </c>
      <c r="J42" s="85"/>
      <c r="K42" s="85"/>
      <c r="L42" s="85"/>
      <c r="M42" s="85"/>
    </row>
    <row r="43" spans="1:13" x14ac:dyDescent="0.2">
      <c r="A43">
        <v>2025</v>
      </c>
      <c r="B43" s="85">
        <v>1</v>
      </c>
      <c r="C43" s="85">
        <v>1</v>
      </c>
      <c r="D43" s="85">
        <v>1</v>
      </c>
      <c r="E43" s="85">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551</v>
      </c>
      <c r="B1" s="34" t="s">
        <v>471</v>
      </c>
      <c r="C1" s="34" t="s">
        <v>552</v>
      </c>
      <c r="D1" s="34" t="s">
        <v>553</v>
      </c>
      <c r="E1" s="34" t="s">
        <v>21</v>
      </c>
    </row>
    <row r="2" spans="1:5" x14ac:dyDescent="0.2">
      <c r="A2" t="s">
        <v>554</v>
      </c>
      <c r="B2" s="2">
        <v>6.5389932052543287E-2</v>
      </c>
    </row>
    <row r="3" spans="1:5" x14ac:dyDescent="0.2">
      <c r="A3" t="s">
        <v>555</v>
      </c>
      <c r="B3">
        <v>5</v>
      </c>
    </row>
    <row r="4" spans="1:5" x14ac:dyDescent="0.2">
      <c r="A4" t="s">
        <v>556</v>
      </c>
      <c r="B4">
        <v>5</v>
      </c>
    </row>
    <row r="5" spans="1:5" x14ac:dyDescent="0.2">
      <c r="A5" t="s">
        <v>557</v>
      </c>
      <c r="B5">
        <v>5</v>
      </c>
    </row>
    <row r="6" spans="1:5" x14ac:dyDescent="0.2">
      <c r="A6" t="s">
        <v>558</v>
      </c>
      <c r="B6">
        <v>1800</v>
      </c>
    </row>
    <row r="7" spans="1:5" x14ac:dyDescent="0.2">
      <c r="A7" t="s">
        <v>559</v>
      </c>
      <c r="B7">
        <v>10</v>
      </c>
    </row>
    <row r="8" spans="1:5" x14ac:dyDescent="0.2">
      <c r="A8" t="s">
        <v>560</v>
      </c>
      <c r="B8">
        <v>0.03</v>
      </c>
    </row>
    <row r="9" spans="1:5" x14ac:dyDescent="0.2">
      <c r="A9" t="s">
        <v>77</v>
      </c>
      <c r="B9">
        <v>0.08</v>
      </c>
      <c r="C9" s="163" t="s">
        <v>561</v>
      </c>
      <c r="D9" s="163" t="s">
        <v>562</v>
      </c>
      <c r="E9" s="163" t="s">
        <v>563</v>
      </c>
    </row>
    <row r="10" spans="1:5" ht="15" customHeight="1" x14ac:dyDescent="0.2">
      <c r="A10" s="3" t="s">
        <v>43</v>
      </c>
      <c r="B10">
        <v>0</v>
      </c>
      <c r="C10" s="164"/>
      <c r="D10" s="164"/>
      <c r="E10" s="164"/>
    </row>
    <row r="11" spans="1:5" x14ac:dyDescent="0.2">
      <c r="A11" s="3" t="s">
        <v>59</v>
      </c>
      <c r="B11">
        <v>0</v>
      </c>
      <c r="C11" s="164"/>
      <c r="D11" s="164"/>
      <c r="E11" s="164"/>
    </row>
    <row r="12" spans="1:5" x14ac:dyDescent="0.2">
      <c r="A12" s="3" t="s">
        <v>191</v>
      </c>
      <c r="B12">
        <v>0.18443169820109739</v>
      </c>
      <c r="C12" s="164"/>
      <c r="D12" s="164"/>
      <c r="E12" s="164"/>
    </row>
    <row r="13" spans="1:5" x14ac:dyDescent="0.2">
      <c r="A13" s="3" t="s">
        <v>213</v>
      </c>
      <c r="B13">
        <v>0.24138000000000001</v>
      </c>
      <c r="C13" s="164"/>
      <c r="D13" s="164"/>
      <c r="E13" s="164"/>
    </row>
    <row r="14" spans="1:5" x14ac:dyDescent="0.2">
      <c r="A14" s="3" t="s">
        <v>157</v>
      </c>
      <c r="B14" s="85">
        <v>0.22962848022115531</v>
      </c>
      <c r="C14" s="164"/>
      <c r="D14" s="164"/>
      <c r="E14" s="164"/>
    </row>
    <row r="15" spans="1:5" x14ac:dyDescent="0.2">
      <c r="A15" s="3" t="s">
        <v>228</v>
      </c>
      <c r="B15">
        <v>0.41505377678599259</v>
      </c>
      <c r="C15" s="164"/>
      <c r="D15" s="164"/>
      <c r="E15" s="164"/>
    </row>
    <row r="16" spans="1:5" x14ac:dyDescent="0.2">
      <c r="A16" s="3" t="s">
        <v>226</v>
      </c>
      <c r="B16">
        <v>0.39914905811401719</v>
      </c>
      <c r="C16" s="164"/>
      <c r="D16" s="164"/>
      <c r="E16" s="164"/>
    </row>
    <row r="17" spans="1:5" x14ac:dyDescent="0.2">
      <c r="A17" s="3" t="s">
        <v>338</v>
      </c>
      <c r="B17">
        <v>0.05</v>
      </c>
      <c r="C17" s="164"/>
      <c r="D17" t="s">
        <v>564</v>
      </c>
      <c r="E17" t="s">
        <v>565</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566</v>
      </c>
      <c r="G1" s="92" t="s">
        <v>567</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568</v>
      </c>
      <c r="G3" s="97">
        <v>1</v>
      </c>
      <c r="H3" s="96"/>
      <c r="I3" s="96"/>
      <c r="J3" s="102"/>
      <c r="K3" s="102">
        <v>3800</v>
      </c>
      <c r="L3" s="103" t="s">
        <v>36</v>
      </c>
      <c r="M3" s="103" t="s">
        <v>37</v>
      </c>
      <c r="N3" s="104"/>
      <c r="O3" s="103" t="s">
        <v>38</v>
      </c>
      <c r="P3" s="105"/>
      <c r="Q3" s="105">
        <v>2022</v>
      </c>
      <c r="R3" s="103" t="s">
        <v>39</v>
      </c>
      <c r="S3" s="106" t="s">
        <v>40</v>
      </c>
      <c r="T3" s="141" t="s">
        <v>41</v>
      </c>
      <c r="U3" s="145"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568</v>
      </c>
      <c r="G4" s="97">
        <v>1</v>
      </c>
      <c r="H4" s="96"/>
      <c r="I4" s="96"/>
      <c r="J4" s="102"/>
      <c r="K4" s="102">
        <f>10.03*1000</f>
        <v>10030</v>
      </c>
      <c r="L4" s="103" t="s">
        <v>50</v>
      </c>
      <c r="M4" s="103" t="s">
        <v>51</v>
      </c>
      <c r="N4" s="104"/>
      <c r="O4" s="103" t="s">
        <v>52</v>
      </c>
      <c r="P4" s="105"/>
      <c r="Q4" s="105">
        <v>2022</v>
      </c>
      <c r="R4" s="103" t="s">
        <v>53</v>
      </c>
      <c r="S4" s="106" t="s">
        <v>54</v>
      </c>
      <c r="T4" s="143"/>
      <c r="U4" s="143"/>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568</v>
      </c>
      <c r="G5" s="97">
        <v>1</v>
      </c>
      <c r="H5" s="96"/>
      <c r="I5" s="96"/>
      <c r="J5" s="102">
        <f>1000000*(45+70)/2</f>
        <v>57500000</v>
      </c>
      <c r="K5" s="102"/>
      <c r="L5" s="104"/>
      <c r="M5" s="104"/>
      <c r="N5" s="104"/>
      <c r="O5" s="103"/>
      <c r="P5" s="105"/>
      <c r="Q5" s="105">
        <v>2009</v>
      </c>
      <c r="R5" s="103" t="s">
        <v>53</v>
      </c>
      <c r="S5" s="106" t="s">
        <v>62</v>
      </c>
      <c r="T5" s="141" t="s">
        <v>63</v>
      </c>
      <c r="U5" s="145"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568</v>
      </c>
      <c r="G6" s="97">
        <v>1</v>
      </c>
      <c r="H6" s="96"/>
      <c r="I6" s="96"/>
      <c r="J6" s="102">
        <v>3000000</v>
      </c>
      <c r="K6" s="102"/>
      <c r="L6" s="104"/>
      <c r="M6" s="104"/>
      <c r="N6" s="104"/>
      <c r="O6" s="103"/>
      <c r="P6" s="105"/>
      <c r="Q6" s="105">
        <v>2009</v>
      </c>
      <c r="R6" s="103" t="s">
        <v>53</v>
      </c>
      <c r="S6" s="106" t="s">
        <v>62</v>
      </c>
      <c r="T6" s="143"/>
      <c r="U6" s="143"/>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568</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568</v>
      </c>
      <c r="G11" s="97">
        <v>1</v>
      </c>
      <c r="H11" s="96"/>
      <c r="I11" s="96"/>
      <c r="J11" s="102"/>
      <c r="K11" s="102">
        <f>4408.18*1.33</f>
        <v>5862.8794000000007</v>
      </c>
      <c r="L11" s="103" t="s">
        <v>36</v>
      </c>
      <c r="M11" s="103" t="s">
        <v>37</v>
      </c>
      <c r="N11" s="104"/>
      <c r="O11" s="103" t="s">
        <v>38</v>
      </c>
      <c r="P11" s="112"/>
      <c r="Q11" s="105">
        <v>2024</v>
      </c>
      <c r="R11" s="103" t="s">
        <v>73</v>
      </c>
      <c r="S11" s="141" t="s">
        <v>74</v>
      </c>
      <c r="T11" s="141" t="s">
        <v>75</v>
      </c>
      <c r="U11" s="144"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568</v>
      </c>
      <c r="G12" s="97">
        <v>1</v>
      </c>
      <c r="H12" s="96"/>
      <c r="I12" s="96"/>
      <c r="J12" s="102"/>
      <c r="K12" s="102">
        <f>2565.2*1.33</f>
        <v>3411.7159999999999</v>
      </c>
      <c r="L12" s="103" t="s">
        <v>36</v>
      </c>
      <c r="M12" s="103" t="s">
        <v>37</v>
      </c>
      <c r="N12" s="104"/>
      <c r="O12" s="103" t="s">
        <v>38</v>
      </c>
      <c r="P12" s="112"/>
      <c r="Q12" s="105">
        <v>2024</v>
      </c>
      <c r="R12" s="103" t="s">
        <v>73</v>
      </c>
      <c r="S12" s="142"/>
      <c r="T12" s="142"/>
      <c r="U12" s="142"/>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568</v>
      </c>
      <c r="G13" s="97">
        <v>1</v>
      </c>
      <c r="H13" s="96"/>
      <c r="I13" s="96"/>
      <c r="J13" s="102"/>
      <c r="K13" s="102">
        <f>22.86*1.4</f>
        <v>32.003999999999998</v>
      </c>
      <c r="L13" s="103" t="s">
        <v>80</v>
      </c>
      <c r="M13" s="103" t="s">
        <v>81</v>
      </c>
      <c r="N13" s="104"/>
      <c r="O13" s="103" t="s">
        <v>82</v>
      </c>
      <c r="P13" s="112"/>
      <c r="Q13" s="105">
        <v>2024</v>
      </c>
      <c r="R13" s="103" t="s">
        <v>73</v>
      </c>
      <c r="S13" s="143"/>
      <c r="T13" s="143"/>
      <c r="U13" s="143"/>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569</v>
      </c>
      <c r="D14" s="96" t="str">
        <f t="shared" si="0"/>
        <v xml:space="preserve">                  Roadwork</v>
      </c>
      <c r="E14" s="96" t="s">
        <v>35</v>
      </c>
      <c r="F14" s="96" t="s">
        <v>568</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570</v>
      </c>
      <c r="D15" s="96" t="str">
        <f t="shared" si="0"/>
        <v xml:space="preserve">                  Security Fencing</v>
      </c>
      <c r="E15" s="96" t="s">
        <v>35</v>
      </c>
      <c r="F15" s="96" t="s">
        <v>568</v>
      </c>
      <c r="G15" s="97">
        <v>1</v>
      </c>
      <c r="H15" s="96"/>
      <c r="I15" s="96"/>
      <c r="J15" s="102"/>
      <c r="K15" s="102">
        <f>75/0.3048</f>
        <v>246.06299212598424</v>
      </c>
      <c r="L15" s="103" t="s">
        <v>571</v>
      </c>
      <c r="M15" s="103" t="s">
        <v>572</v>
      </c>
      <c r="N15" s="104"/>
      <c r="O15" s="103"/>
      <c r="P15" s="112"/>
      <c r="Q15" s="105">
        <v>2009</v>
      </c>
      <c r="R15" s="103" t="s">
        <v>73</v>
      </c>
      <c r="S15" s="106" t="s">
        <v>573</v>
      </c>
      <c r="T15" s="106" t="s">
        <v>574</v>
      </c>
      <c r="U15" s="116" t="s">
        <v>575</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576</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577</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568</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41" t="s">
        <v>578</v>
      </c>
      <c r="T18" s="141" t="s">
        <v>75</v>
      </c>
      <c r="U18" s="144"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568</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42"/>
      <c r="T19" s="142"/>
      <c r="U19" s="142"/>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568</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43"/>
      <c r="T20" s="143"/>
      <c r="U20" s="143"/>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579</v>
      </c>
      <c r="D21" s="96" t="str">
        <f t="shared" si="0"/>
        <v xml:space="preserve">                        HVAC</v>
      </c>
      <c r="E21" s="96" t="s">
        <v>35</v>
      </c>
      <c r="F21" s="96" t="s">
        <v>568</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580</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568</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41" t="s">
        <v>578</v>
      </c>
      <c r="T23" s="141" t="s">
        <v>75</v>
      </c>
      <c r="U23" s="144"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568</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42"/>
      <c r="T24" s="142"/>
      <c r="U24" s="142"/>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568</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43"/>
      <c r="T25" s="143"/>
      <c r="U25" s="143"/>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579</v>
      </c>
      <c r="D26" s="96" t="str">
        <f t="shared" si="0"/>
        <v xml:space="preserve">                        HVAC</v>
      </c>
      <c r="E26" s="96" t="s">
        <v>35</v>
      </c>
      <c r="F26" s="96" t="s">
        <v>568</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581</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568</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41" t="s">
        <v>578</v>
      </c>
      <c r="T28" s="141" t="s">
        <v>75</v>
      </c>
      <c r="U28" s="144"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568</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42"/>
      <c r="T29" s="142"/>
      <c r="U29" s="142"/>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568</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43"/>
      <c r="T30" s="143"/>
      <c r="U30" s="143"/>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579</v>
      </c>
      <c r="D31" s="96" t="str">
        <f t="shared" si="0"/>
        <v xml:space="preserve">                        HVAC</v>
      </c>
      <c r="E31" s="96" t="s">
        <v>35</v>
      </c>
      <c r="F31" s="96" t="s">
        <v>568</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582</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568</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41" t="s">
        <v>578</v>
      </c>
      <c r="T33" s="141" t="s">
        <v>75</v>
      </c>
      <c r="U33" s="144"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568</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42"/>
      <c r="T34" s="142"/>
      <c r="U34" s="142"/>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568</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43"/>
      <c r="T35" s="143"/>
      <c r="U35" s="143"/>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579</v>
      </c>
      <c r="D36" s="96" t="str">
        <f t="shared" si="2"/>
        <v xml:space="preserve">                        HVAC</v>
      </c>
      <c r="E36" s="96" t="s">
        <v>35</v>
      </c>
      <c r="F36" s="96" t="s">
        <v>568</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583</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568</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41" t="s">
        <v>578</v>
      </c>
      <c r="T38" s="141" t="s">
        <v>75</v>
      </c>
      <c r="U38" s="144"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568</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42"/>
      <c r="T39" s="142"/>
      <c r="U39" s="142"/>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568</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43"/>
      <c r="T40" s="143"/>
      <c r="U40" s="143"/>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579</v>
      </c>
      <c r="D41" s="96" t="str">
        <f t="shared" si="2"/>
        <v xml:space="preserve">                        HVAC</v>
      </c>
      <c r="E41" s="96" t="s">
        <v>35</v>
      </c>
      <c r="F41" s="96" t="s">
        <v>568</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570</v>
      </c>
      <c r="D42" s="96" t="str">
        <f t="shared" si="2"/>
        <v xml:space="preserve">                  Security Fencing</v>
      </c>
      <c r="E42" s="96" t="s">
        <v>35</v>
      </c>
      <c r="F42" s="96" t="s">
        <v>568</v>
      </c>
      <c r="G42" s="97">
        <v>1</v>
      </c>
      <c r="H42" s="96"/>
      <c r="I42" s="96"/>
      <c r="J42" s="102"/>
      <c r="K42" s="102">
        <f>75/0.3048</f>
        <v>246.06299212598424</v>
      </c>
      <c r="L42" s="103" t="s">
        <v>571</v>
      </c>
      <c r="M42" s="103" t="s">
        <v>584</v>
      </c>
      <c r="N42" s="104"/>
      <c r="O42" s="103"/>
      <c r="P42" s="112"/>
      <c r="Q42" s="105">
        <v>2009</v>
      </c>
      <c r="R42" s="103" t="s">
        <v>73</v>
      </c>
      <c r="S42" s="106" t="s">
        <v>573</v>
      </c>
      <c r="T42" s="106" t="s">
        <v>574</v>
      </c>
      <c r="U42" s="116" t="s">
        <v>575</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585</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586</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568</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41" t="s">
        <v>578</v>
      </c>
      <c r="T45" s="141" t="s">
        <v>75</v>
      </c>
      <c r="U45" s="144"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568</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42"/>
      <c r="T46" s="142"/>
      <c r="U46" s="142"/>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568</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43"/>
      <c r="T47" s="143"/>
      <c r="U47" s="143"/>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587</v>
      </c>
      <c r="D48" s="96" t="str">
        <f t="shared" si="2"/>
        <v xml:space="preserve">                        Servicing Hot Cell</v>
      </c>
      <c r="E48" s="96" t="s">
        <v>35</v>
      </c>
      <c r="F48" s="96" t="s">
        <v>588</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589</v>
      </c>
      <c r="D49" s="96" t="str">
        <f t="shared" si="2"/>
        <v xml:space="preserve">                              Hot Cell Airlock</v>
      </c>
      <c r="E49" s="96" t="s">
        <v>35</v>
      </c>
      <c r="F49" s="96" t="s">
        <v>588</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579</v>
      </c>
      <c r="D50" s="96" t="str">
        <f t="shared" si="2"/>
        <v xml:space="preserve">                        HVAC</v>
      </c>
      <c r="E50" s="96" t="s">
        <v>35</v>
      </c>
      <c r="F50" s="96" t="s">
        <v>568</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590</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568</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41" t="s">
        <v>578</v>
      </c>
      <c r="T52" s="141" t="s">
        <v>75</v>
      </c>
      <c r="U52" s="144"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568</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42"/>
      <c r="T53" s="142"/>
      <c r="U53" s="142"/>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568</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43"/>
      <c r="T54" s="143"/>
      <c r="U54" s="143"/>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579</v>
      </c>
      <c r="D55" s="96" t="str">
        <f t="shared" si="3"/>
        <v xml:space="preserve">                        HVAC</v>
      </c>
      <c r="E55" s="96" t="s">
        <v>35</v>
      </c>
      <c r="F55" s="96" t="s">
        <v>568</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591</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568</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41" t="s">
        <v>578</v>
      </c>
      <c r="T57" s="141" t="s">
        <v>75</v>
      </c>
      <c r="U57" s="144"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568</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42"/>
      <c r="T58" s="142"/>
      <c r="U58" s="142"/>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568</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43"/>
      <c r="T59" s="143"/>
      <c r="U59" s="143"/>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579</v>
      </c>
      <c r="D60" s="96" t="str">
        <f t="shared" si="3"/>
        <v xml:space="preserve">                        HVAC</v>
      </c>
      <c r="E60" s="96" t="s">
        <v>35</v>
      </c>
      <c r="F60" s="96" t="s">
        <v>568</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592</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568</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41" t="s">
        <v>578</v>
      </c>
      <c r="T62" s="141" t="s">
        <v>75</v>
      </c>
      <c r="U62" s="144"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568</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42"/>
      <c r="T63" s="142"/>
      <c r="U63" s="142"/>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568</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43"/>
      <c r="T64" s="143"/>
      <c r="U64" s="143"/>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579</v>
      </c>
      <c r="D65" s="96" t="str">
        <f t="shared" si="3"/>
        <v xml:space="preserve">                        HVAC</v>
      </c>
      <c r="E65" s="96" t="s">
        <v>35</v>
      </c>
      <c r="F65" s="96" t="s">
        <v>568</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593</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568</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41" t="s">
        <v>578</v>
      </c>
      <c r="T67" s="141" t="s">
        <v>75</v>
      </c>
      <c r="U67" s="144"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568</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42"/>
      <c r="T68" s="142"/>
      <c r="U68" s="142"/>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568</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43"/>
      <c r="T69" s="143"/>
      <c r="U69" s="143"/>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579</v>
      </c>
      <c r="D70" s="96" t="str">
        <f t="shared" si="3"/>
        <v xml:space="preserve">                        HVAC</v>
      </c>
      <c r="E70" s="96" t="s">
        <v>35</v>
      </c>
      <c r="F70" s="96" t="s">
        <v>568</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570</v>
      </c>
      <c r="D71" s="96" t="str">
        <f t="shared" si="3"/>
        <v xml:space="preserve">                  Security Fencing</v>
      </c>
      <c r="E71" s="96" t="s">
        <v>35</v>
      </c>
      <c r="F71" s="96" t="s">
        <v>568</v>
      </c>
      <c r="G71" s="97">
        <v>1</v>
      </c>
      <c r="H71" s="96"/>
      <c r="I71" s="96"/>
      <c r="J71" s="102"/>
      <c r="K71" s="102">
        <f>75/0.3048</f>
        <v>246.06299212598424</v>
      </c>
      <c r="L71" s="103" t="s">
        <v>571</v>
      </c>
      <c r="M71" s="103" t="s">
        <v>594</v>
      </c>
      <c r="N71" s="104"/>
      <c r="O71" s="103"/>
      <c r="P71" s="112"/>
      <c r="Q71" s="105">
        <v>2009</v>
      </c>
      <c r="R71" s="103" t="s">
        <v>73</v>
      </c>
      <c r="S71" s="106" t="s">
        <v>573</v>
      </c>
      <c r="T71" s="106" t="s">
        <v>574</v>
      </c>
      <c r="U71" s="116" t="s">
        <v>575</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595</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596</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568</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41" t="s">
        <v>74</v>
      </c>
      <c r="T74" s="141" t="s">
        <v>75</v>
      </c>
      <c r="U74" s="144"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568</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42"/>
      <c r="T75" s="142"/>
      <c r="U75" s="142"/>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568</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43"/>
      <c r="T76" s="143"/>
      <c r="U76" s="143"/>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579</v>
      </c>
      <c r="D77" s="96" t="str">
        <f t="shared" si="3"/>
        <v xml:space="preserve">                        HVAC</v>
      </c>
      <c r="E77" s="96" t="s">
        <v>35</v>
      </c>
      <c r="F77" s="96" t="s">
        <v>568</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597</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568</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41" t="s">
        <v>74</v>
      </c>
      <c r="T79" s="141" t="s">
        <v>75</v>
      </c>
      <c r="U79" s="144"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568</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42"/>
      <c r="T80" s="142"/>
      <c r="U80" s="142"/>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568</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43"/>
      <c r="T81" s="143"/>
      <c r="U81" s="143"/>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598</v>
      </c>
      <c r="D82" s="96" t="str">
        <f t="shared" si="3"/>
        <v xml:space="preserve">                        Reactor Fueling Hot Cell</v>
      </c>
      <c r="E82" s="96" t="s">
        <v>35</v>
      </c>
      <c r="F82" s="96" t="s">
        <v>599</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589</v>
      </c>
      <c r="D83" s="96" t="str">
        <f t="shared" si="3"/>
        <v xml:space="preserve">                              Hot Cell Airlock</v>
      </c>
      <c r="E83" s="96" t="s">
        <v>35</v>
      </c>
      <c r="F83" s="96" t="s">
        <v>588</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579</v>
      </c>
      <c r="D84" s="96" t="str">
        <f t="shared" si="3"/>
        <v xml:space="preserve">                        HVAC</v>
      </c>
      <c r="E84" s="96" t="s">
        <v>35</v>
      </c>
      <c r="F84" s="96" t="s">
        <v>568</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713</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568</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41" t="s">
        <v>74</v>
      </c>
      <c r="T86" s="141" t="s">
        <v>75</v>
      </c>
      <c r="U86" s="144"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568</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42"/>
      <c r="T87" s="142"/>
      <c r="U87" s="142"/>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568</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43"/>
      <c r="T88" s="143"/>
      <c r="U88" s="143"/>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600</v>
      </c>
      <c r="D89" s="96" t="str">
        <f t="shared" si="3"/>
        <v xml:space="preserve">                        Reactor Testing Hot Cell</v>
      </c>
      <c r="E89" s="96" t="s">
        <v>35</v>
      </c>
      <c r="F89" s="96" t="s">
        <v>601</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589</v>
      </c>
      <c r="D90" s="96" t="str">
        <f t="shared" si="3"/>
        <v xml:space="preserve">                              Hot Cell Airlock</v>
      </c>
      <c r="E90" s="96" t="s">
        <v>35</v>
      </c>
      <c r="F90" s="96" t="s">
        <v>599</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579</v>
      </c>
      <c r="D91" s="96" t="str">
        <f t="shared" si="3"/>
        <v xml:space="preserve">                        HVAC</v>
      </c>
      <c r="E91" s="96" t="s">
        <v>35</v>
      </c>
      <c r="F91" s="96" t="s">
        <v>568</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602</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568</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41" t="s">
        <v>578</v>
      </c>
      <c r="T93" s="141" t="s">
        <v>75</v>
      </c>
      <c r="U93" s="144"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568</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42"/>
      <c r="T94" s="142"/>
      <c r="U94" s="142"/>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568</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43"/>
      <c r="T95" s="143"/>
      <c r="U95" s="143"/>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579</v>
      </c>
      <c r="D96" s="96" t="str">
        <f t="shared" si="3"/>
        <v xml:space="preserve">                        HVAC</v>
      </c>
      <c r="E96" s="96" t="s">
        <v>35</v>
      </c>
      <c r="F96" s="96" t="s">
        <v>568</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603</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568</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41" t="s">
        <v>578</v>
      </c>
      <c r="T98" s="141" t="s">
        <v>75</v>
      </c>
      <c r="U98" s="144"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568</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42"/>
      <c r="T99" s="142"/>
      <c r="U99" s="142"/>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568</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43"/>
      <c r="T100" s="143"/>
      <c r="U100" s="143"/>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579</v>
      </c>
      <c r="D101" s="96" t="str">
        <f t="shared" si="3"/>
        <v xml:space="preserve">                        HVAC</v>
      </c>
      <c r="E101" s="96" t="s">
        <v>35</v>
      </c>
      <c r="F101" s="96" t="s">
        <v>568</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570</v>
      </c>
      <c r="D102" s="96" t="str">
        <f t="shared" si="3"/>
        <v xml:space="preserve">                  Security Fencing</v>
      </c>
      <c r="E102" s="96" t="s">
        <v>35</v>
      </c>
      <c r="F102" s="96" t="s">
        <v>568</v>
      </c>
      <c r="G102" s="97">
        <v>1</v>
      </c>
      <c r="H102" s="96"/>
      <c r="I102" s="96"/>
      <c r="J102" s="102"/>
      <c r="K102" s="102">
        <f>75/0.3048</f>
        <v>246.06299212598424</v>
      </c>
      <c r="L102" s="103" t="s">
        <v>571</v>
      </c>
      <c r="M102" s="103" t="s">
        <v>604</v>
      </c>
      <c r="N102" s="104"/>
      <c r="O102" s="103"/>
      <c r="P102" s="112"/>
      <c r="Q102" s="105">
        <v>2009</v>
      </c>
      <c r="R102" s="103" t="s">
        <v>73</v>
      </c>
      <c r="S102" s="106" t="s">
        <v>573</v>
      </c>
      <c r="T102" s="106" t="s">
        <v>574</v>
      </c>
      <c r="U102" s="116" t="s">
        <v>575</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605</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606</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568</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41" t="s">
        <v>578</v>
      </c>
      <c r="T105" s="141" t="s">
        <v>75</v>
      </c>
      <c r="U105" s="144"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568</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42"/>
      <c r="T106" s="142"/>
      <c r="U106" s="142"/>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568</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43"/>
      <c r="T107" s="143"/>
      <c r="U107" s="143"/>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607</v>
      </c>
      <c r="D108" s="96" t="str">
        <f t="shared" si="3"/>
        <v xml:space="preserve">                        Radioactive Waste Processing Hot Cell</v>
      </c>
      <c r="E108" s="96" t="s">
        <v>35</v>
      </c>
      <c r="F108" s="96" t="s">
        <v>568</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589</v>
      </c>
      <c r="D109" s="96" t="str">
        <f t="shared" si="3"/>
        <v xml:space="preserve">                              Hot Cell Airlock</v>
      </c>
      <c r="E109" s="96" t="s">
        <v>35</v>
      </c>
      <c r="F109" s="96" t="s">
        <v>568</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579</v>
      </c>
      <c r="D110" s="96" t="str">
        <f t="shared" si="3"/>
        <v xml:space="preserve">                        HVAC</v>
      </c>
      <c r="E110" s="96" t="s">
        <v>35</v>
      </c>
      <c r="F110" s="96" t="s">
        <v>568</v>
      </c>
      <c r="G110" s="97">
        <v>1</v>
      </c>
      <c r="H110" s="96"/>
      <c r="I110" s="96"/>
      <c r="J110" s="102"/>
      <c r="K110" s="102"/>
      <c r="L110" s="103" t="s">
        <v>80</v>
      </c>
      <c r="M110" s="101" t="s">
        <v>608</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609</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568</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41" t="s">
        <v>74</v>
      </c>
      <c r="T112" s="141" t="s">
        <v>75</v>
      </c>
      <c r="U112" s="144"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568</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42"/>
      <c r="T113" s="142"/>
      <c r="U113" s="142"/>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568</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43"/>
      <c r="T114" s="143"/>
      <c r="U114" s="143"/>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579</v>
      </c>
      <c r="D115" s="96" t="str">
        <f t="shared" si="3"/>
        <v xml:space="preserve">                        HVAC</v>
      </c>
      <c r="E115" s="96" t="s">
        <v>35</v>
      </c>
      <c r="F115" s="96" t="s">
        <v>568</v>
      </c>
      <c r="G115" s="97">
        <v>1</v>
      </c>
      <c r="H115" s="96"/>
      <c r="I115" s="96"/>
      <c r="J115" s="102"/>
      <c r="K115" s="102"/>
      <c r="L115" s="103" t="s">
        <v>80</v>
      </c>
      <c r="M115" s="101" t="s">
        <v>610</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611</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568</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41" t="s">
        <v>578</v>
      </c>
      <c r="T117" s="141" t="s">
        <v>75</v>
      </c>
      <c r="U117" s="144"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568</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42"/>
      <c r="T118" s="142"/>
      <c r="U118" s="142"/>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568</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43"/>
      <c r="T119" s="143"/>
      <c r="U119" s="143"/>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579</v>
      </c>
      <c r="D120" s="96" t="str">
        <f t="shared" si="7"/>
        <v xml:space="preserve">                        HVAC</v>
      </c>
      <c r="E120" s="96" t="s">
        <v>35</v>
      </c>
      <c r="F120" s="96" t="s">
        <v>568</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612</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568</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41" t="s">
        <v>578</v>
      </c>
      <c r="T122" s="141" t="s">
        <v>75</v>
      </c>
      <c r="U122" s="144"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568</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42"/>
      <c r="T123" s="142"/>
      <c r="U123" s="142"/>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568</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43"/>
      <c r="T124" s="143"/>
      <c r="U124" s="143"/>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579</v>
      </c>
      <c r="D125" s="96" t="str">
        <f t="shared" si="7"/>
        <v xml:space="preserve">                        HVAC</v>
      </c>
      <c r="E125" s="96" t="s">
        <v>35</v>
      </c>
      <c r="F125" s="96" t="s">
        <v>568</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613</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568</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41" t="s">
        <v>578</v>
      </c>
      <c r="T127" s="141" t="s">
        <v>75</v>
      </c>
      <c r="U127" s="144"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568</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42"/>
      <c r="T128" s="142"/>
      <c r="U128" s="142"/>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568</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43"/>
      <c r="T129" s="143"/>
      <c r="U129" s="143"/>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579</v>
      </c>
      <c r="D130" s="96" t="str">
        <f t="shared" si="7"/>
        <v xml:space="preserve">                        HVAC</v>
      </c>
      <c r="E130" s="96" t="s">
        <v>35</v>
      </c>
      <c r="F130" s="96" t="s">
        <v>568</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570</v>
      </c>
      <c r="D131" s="96" t="str">
        <f t="shared" si="7"/>
        <v xml:space="preserve">                  Security Fencing</v>
      </c>
      <c r="E131" s="96" t="s">
        <v>35</v>
      </c>
      <c r="F131" s="96" t="s">
        <v>568</v>
      </c>
      <c r="G131" s="97">
        <v>1</v>
      </c>
      <c r="H131" s="96"/>
      <c r="I131" s="96"/>
      <c r="J131" s="102"/>
      <c r="K131" s="102">
        <f>75/0.3048</f>
        <v>246.06299212598424</v>
      </c>
      <c r="L131" s="103" t="s">
        <v>571</v>
      </c>
      <c r="M131" s="101" t="s">
        <v>614</v>
      </c>
      <c r="N131" s="104"/>
      <c r="O131" s="103"/>
      <c r="P131" s="112"/>
      <c r="Q131" s="105">
        <v>2009</v>
      </c>
      <c r="R131" s="103" t="s">
        <v>73</v>
      </c>
      <c r="S131" s="106" t="s">
        <v>573</v>
      </c>
      <c r="T131" s="106" t="s">
        <v>574</v>
      </c>
      <c r="U131" s="116" t="s">
        <v>575</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615</v>
      </c>
      <c r="D132" s="130" t="str">
        <f t="shared" si="7"/>
        <v xml:space="preserve">      Manufacturing Facility Equipment</v>
      </c>
      <c r="E132" s="130" t="s">
        <v>35</v>
      </c>
      <c r="F132" s="130" t="s">
        <v>616</v>
      </c>
      <c r="G132" s="131">
        <v>1</v>
      </c>
      <c r="H132" s="130"/>
      <c r="I132" s="130"/>
      <c r="J132" s="132"/>
      <c r="K132" s="132">
        <v>74748072.817566499</v>
      </c>
      <c r="L132" s="133" t="s">
        <v>617</v>
      </c>
      <c r="M132" s="130" t="s">
        <v>616</v>
      </c>
      <c r="N132" s="134">
        <v>1</v>
      </c>
      <c r="O132" s="134" t="s">
        <v>617</v>
      </c>
      <c r="P132" s="135">
        <v>-0.97870000000000001</v>
      </c>
      <c r="Q132" s="135">
        <v>2024</v>
      </c>
      <c r="R132" s="134" t="s">
        <v>86</v>
      </c>
      <c r="S132" s="136" t="s">
        <v>618</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619</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620</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621</v>
      </c>
      <c r="D135" s="96" t="str">
        <f t="shared" si="7"/>
        <v xml:space="preserve">                  Fuel/Internal Handling Robot</v>
      </c>
      <c r="E135" s="96" t="s">
        <v>35</v>
      </c>
      <c r="F135" s="96" t="s">
        <v>622</v>
      </c>
      <c r="G135" s="97">
        <v>12</v>
      </c>
      <c r="H135" s="96"/>
      <c r="I135" s="103"/>
      <c r="J135" s="102">
        <v>232000</v>
      </c>
      <c r="K135" s="102"/>
      <c r="L135" s="108"/>
      <c r="M135" s="118"/>
      <c r="N135" s="108"/>
      <c r="O135" s="108"/>
      <c r="P135" s="105"/>
      <c r="Q135" s="105">
        <v>2023</v>
      </c>
      <c r="R135" s="108" t="s">
        <v>86</v>
      </c>
      <c r="S135" s="118" t="s">
        <v>623</v>
      </c>
      <c r="T135" s="108"/>
      <c r="U135" s="108"/>
      <c r="V135" s="108" t="s">
        <v>624</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625</v>
      </c>
      <c r="D136" s="96" t="str">
        <f t="shared" si="7"/>
        <v xml:space="preserve">                  Fuel Crane</v>
      </c>
      <c r="E136" s="96" t="s">
        <v>35</v>
      </c>
      <c r="F136" s="96" t="s">
        <v>622</v>
      </c>
      <c r="G136" s="97">
        <v>2</v>
      </c>
      <c r="H136" s="96"/>
      <c r="I136" s="103"/>
      <c r="J136" s="102">
        <v>1971000</v>
      </c>
      <c r="K136" s="102"/>
      <c r="L136" s="108"/>
      <c r="M136" s="118"/>
      <c r="N136" s="108"/>
      <c r="O136" s="108"/>
      <c r="P136" s="105"/>
      <c r="Q136" s="105">
        <v>2023</v>
      </c>
      <c r="R136" s="108" t="s">
        <v>86</v>
      </c>
      <c r="S136" s="118" t="s">
        <v>623</v>
      </c>
      <c r="T136" s="108"/>
      <c r="U136" s="108"/>
      <c r="V136" s="108" t="s">
        <v>626</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627</v>
      </c>
      <c r="D137" s="96" t="str">
        <f t="shared" si="7"/>
        <v xml:space="preserve">                  Reactor Crane</v>
      </c>
      <c r="E137" s="96" t="s">
        <v>35</v>
      </c>
      <c r="F137" s="96" t="s">
        <v>622</v>
      </c>
      <c r="G137" s="97">
        <v>1</v>
      </c>
      <c r="H137" s="96"/>
      <c r="I137" s="103"/>
      <c r="J137" s="102">
        <v>2738000</v>
      </c>
      <c r="K137" s="102"/>
      <c r="L137" s="108"/>
      <c r="M137" s="118"/>
      <c r="N137" s="108"/>
      <c r="O137" s="108"/>
      <c r="P137" s="105"/>
      <c r="Q137" s="105">
        <v>2023</v>
      </c>
      <c r="R137" s="108" t="s">
        <v>86</v>
      </c>
      <c r="S137" s="118" t="s">
        <v>623</v>
      </c>
      <c r="T137" s="108"/>
      <c r="U137" s="108"/>
      <c r="V137" s="108" t="s">
        <v>626</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628</v>
      </c>
      <c r="D138" s="96" t="str">
        <f t="shared" si="7"/>
        <v xml:space="preserve">                  Operating Platform</v>
      </c>
      <c r="E138" s="96" t="s">
        <v>35</v>
      </c>
      <c r="F138" s="96" t="s">
        <v>622</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629</v>
      </c>
      <c r="D139" s="96" t="str">
        <f t="shared" si="7"/>
        <v xml:space="preserve">                  Vessel Inspection System</v>
      </c>
      <c r="E139" s="96" t="s">
        <v>35</v>
      </c>
      <c r="F139" s="96" t="s">
        <v>622</v>
      </c>
      <c r="G139" s="97">
        <v>1</v>
      </c>
      <c r="H139" s="96"/>
      <c r="I139" s="103"/>
      <c r="J139" s="102">
        <v>3000000</v>
      </c>
      <c r="K139" s="102"/>
      <c r="L139" s="108"/>
      <c r="M139" s="118"/>
      <c r="N139" s="108"/>
      <c r="O139" s="108"/>
      <c r="P139" s="105"/>
      <c r="Q139" s="105">
        <v>1999</v>
      </c>
      <c r="R139" s="108" t="s">
        <v>86</v>
      </c>
      <c r="S139" s="118" t="s">
        <v>630</v>
      </c>
      <c r="T139" s="118" t="s">
        <v>631</v>
      </c>
      <c r="U139" s="119" t="s">
        <v>632</v>
      </c>
      <c r="V139" s="108" t="s">
        <v>633</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634</v>
      </c>
      <c r="D140" s="96" t="str">
        <f t="shared" si="7"/>
        <v xml:space="preserve">                  Decontamination System</v>
      </c>
      <c r="E140" s="96" t="s">
        <v>35</v>
      </c>
      <c r="F140" s="96" t="s">
        <v>622</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635</v>
      </c>
      <c r="D141" s="96" t="str">
        <f t="shared" si="7"/>
        <v xml:space="preserve">                  Servicing Hot Cell Shielding</v>
      </c>
      <c r="E141" s="96" t="s">
        <v>35</v>
      </c>
      <c r="F141" s="96" t="s">
        <v>622</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636</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637</v>
      </c>
      <c r="D143" s="96" t="str">
        <f t="shared" si="7"/>
        <v xml:space="preserve">                  Handling Robot</v>
      </c>
      <c r="E143" s="96" t="s">
        <v>35</v>
      </c>
      <c r="F143" s="96" t="s">
        <v>588</v>
      </c>
      <c r="G143" s="97">
        <v>6</v>
      </c>
      <c r="H143" s="96"/>
      <c r="I143" s="103"/>
      <c r="J143" s="102">
        <v>232000</v>
      </c>
      <c r="K143" s="102"/>
      <c r="L143" s="108"/>
      <c r="M143" s="118"/>
      <c r="N143" s="108"/>
      <c r="O143" s="108"/>
      <c r="P143" s="105"/>
      <c r="Q143" s="105">
        <v>2023</v>
      </c>
      <c r="R143" s="108" t="s">
        <v>86</v>
      </c>
      <c r="S143" s="118" t="s">
        <v>623</v>
      </c>
      <c r="T143" s="108"/>
      <c r="U143" s="108"/>
      <c r="V143" s="108" t="s">
        <v>624</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628</v>
      </c>
      <c r="D144" s="96" t="str">
        <f t="shared" si="7"/>
        <v xml:space="preserve">                  Operating Platform</v>
      </c>
      <c r="E144" s="96" t="s">
        <v>35</v>
      </c>
      <c r="F144" s="96" t="s">
        <v>588</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638</v>
      </c>
      <c r="D145" s="96" t="str">
        <f t="shared" si="7"/>
        <v xml:space="preserve">                  Primary Heat Transport System</v>
      </c>
      <c r="E145" s="96" t="s">
        <v>35</v>
      </c>
      <c r="F145" s="96" t="s">
        <v>588</v>
      </c>
      <c r="G145" s="97">
        <v>1</v>
      </c>
      <c r="H145" s="96"/>
      <c r="I145" s="103"/>
      <c r="J145" s="102"/>
      <c r="K145" s="102"/>
      <c r="L145" s="108"/>
      <c r="M145" s="118"/>
      <c r="N145" s="108"/>
      <c r="O145" s="108"/>
      <c r="P145" s="105"/>
      <c r="Q145" s="105"/>
      <c r="R145" s="108"/>
      <c r="S145" s="118"/>
      <c r="T145" s="108"/>
      <c r="U145" s="108"/>
      <c r="V145" s="108" t="s">
        <v>639</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634</v>
      </c>
      <c r="D146" s="96" t="str">
        <f t="shared" si="7"/>
        <v xml:space="preserve">                  Decontamination System</v>
      </c>
      <c r="E146" s="96" t="s">
        <v>35</v>
      </c>
      <c r="F146" s="96" t="s">
        <v>588</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640</v>
      </c>
      <c r="D147" s="96" t="str">
        <f t="shared" si="7"/>
        <v xml:space="preserve">                  Testing Hot Cell Shielding</v>
      </c>
      <c r="E147" s="96" t="s">
        <v>35</v>
      </c>
      <c r="F147" s="96" t="s">
        <v>588</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641</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642</v>
      </c>
      <c r="D149" s="96" t="str">
        <f t="shared" si="7"/>
        <v xml:space="preserve">                  Fire Protection Equipment</v>
      </c>
      <c r="E149" s="96" t="s">
        <v>35</v>
      </c>
      <c r="F149" s="96" t="s">
        <v>568</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643</v>
      </c>
      <c r="D150" s="96" t="str">
        <f t="shared" si="7"/>
        <v xml:space="preserve">                  Service Water/Air/Steam System</v>
      </c>
      <c r="E150" s="96" t="s">
        <v>35</v>
      </c>
      <c r="F150" s="96" t="s">
        <v>568</v>
      </c>
      <c r="G150" s="97">
        <v>1</v>
      </c>
      <c r="H150" s="96"/>
      <c r="I150" s="103"/>
      <c r="J150" s="102"/>
      <c r="K150" s="102">
        <f>111284601/N150</f>
        <v>32567.925373134327</v>
      </c>
      <c r="L150" s="108"/>
      <c r="M150" s="118" t="s">
        <v>644</v>
      </c>
      <c r="N150" s="108">
        <v>3417</v>
      </c>
      <c r="O150" s="108" t="s">
        <v>100</v>
      </c>
      <c r="P150" s="105">
        <v>0.8</v>
      </c>
      <c r="Q150" s="105">
        <v>2018</v>
      </c>
      <c r="R150" s="108" t="s">
        <v>86</v>
      </c>
      <c r="S150" s="118" t="s">
        <v>189</v>
      </c>
      <c r="T150" s="108"/>
      <c r="U150" s="108"/>
      <c r="V150" s="108" t="s">
        <v>645</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646</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647</v>
      </c>
      <c r="D152" s="96" t="str">
        <f t="shared" si="7"/>
        <v xml:space="preserve">                        Gas Waste System</v>
      </c>
      <c r="E152" s="96" t="s">
        <v>35</v>
      </c>
      <c r="F152" s="96" t="s">
        <v>568</v>
      </c>
      <c r="G152" s="97">
        <v>1</v>
      </c>
      <c r="H152" s="96"/>
      <c r="I152" s="103"/>
      <c r="J152" s="102"/>
      <c r="K152" s="102">
        <f>3330589.8/N152</f>
        <v>974.71167690956975</v>
      </c>
      <c r="L152" s="108" t="s">
        <v>98</v>
      </c>
      <c r="M152" s="118" t="s">
        <v>644</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648</v>
      </c>
      <c r="D153" s="96" t="str">
        <f t="shared" si="7"/>
        <v xml:space="preserve">                        Liquid Waste System</v>
      </c>
      <c r="E153" s="96" t="s">
        <v>35</v>
      </c>
      <c r="F153" s="96" t="s">
        <v>568</v>
      </c>
      <c r="G153" s="97">
        <v>1</v>
      </c>
      <c r="H153" s="96"/>
      <c r="I153" s="103"/>
      <c r="J153" s="102"/>
      <c r="K153" s="102">
        <f>33058834.16/N153</f>
        <v>9674.8124553702073</v>
      </c>
      <c r="L153" s="108" t="s">
        <v>98</v>
      </c>
      <c r="M153" s="118" t="s">
        <v>644</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649</v>
      </c>
      <c r="D154" s="96" t="str">
        <f t="shared" si="7"/>
        <v xml:space="preserve">                        Solid Waste System</v>
      </c>
      <c r="E154" s="96" t="s">
        <v>35</v>
      </c>
      <c r="F154" s="96" t="s">
        <v>568</v>
      </c>
      <c r="G154" s="97">
        <v>1</v>
      </c>
      <c r="H154" s="96"/>
      <c r="I154" s="103"/>
      <c r="J154" s="102"/>
      <c r="K154" s="102">
        <f>15805121.88/N154</f>
        <v>4625.438068481124</v>
      </c>
      <c r="L154" s="108" t="s">
        <v>98</v>
      </c>
      <c r="M154" s="118" t="s">
        <v>644</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650</v>
      </c>
      <c r="D155" s="96" t="str">
        <f t="shared" si="7"/>
        <v xml:space="preserve">                  Inert Gas System</v>
      </c>
      <c r="E155" s="96" t="s">
        <v>35</v>
      </c>
      <c r="F155" s="96" t="s">
        <v>568</v>
      </c>
      <c r="G155" s="97">
        <v>1</v>
      </c>
      <c r="H155" s="96"/>
      <c r="I155" s="103"/>
      <c r="J155" s="102"/>
      <c r="K155" s="102">
        <f>8275000/N155</f>
        <v>41.159063091397293</v>
      </c>
      <c r="L155" s="108" t="s">
        <v>80</v>
      </c>
      <c r="M155" s="118" t="s">
        <v>651</v>
      </c>
      <c r="N155" s="108">
        <v>201049.28</v>
      </c>
      <c r="O155" s="108" t="s">
        <v>82</v>
      </c>
      <c r="P155" s="105">
        <v>0.6</v>
      </c>
      <c r="Q155" s="105">
        <v>1978</v>
      </c>
      <c r="R155" s="108" t="s">
        <v>86</v>
      </c>
      <c r="S155" s="118"/>
      <c r="T155" s="108" t="s">
        <v>652</v>
      </c>
      <c r="U155" s="119" t="s">
        <v>653</v>
      </c>
      <c r="V155" s="108" t="s">
        <v>654</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655</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656</v>
      </c>
      <c r="D157" s="96" t="str">
        <f t="shared" si="7"/>
        <v xml:space="preserve">                  Helium Treatment and Recycle</v>
      </c>
      <c r="E157" s="96" t="s">
        <v>35</v>
      </c>
      <c r="F157" s="96" t="s">
        <v>568</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657</v>
      </c>
      <c r="D158" s="96" t="str">
        <f t="shared" si="7"/>
        <v xml:space="preserve">                  Helium Storage Equipment</v>
      </c>
      <c r="E158" s="96" t="s">
        <v>35</v>
      </c>
      <c r="F158" s="96" t="s">
        <v>568</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658</v>
      </c>
      <c r="D159" s="96" t="str">
        <f t="shared" si="7"/>
        <v xml:space="preserve">                  Helium Transfer Equipment</v>
      </c>
      <c r="E159" s="96" t="s">
        <v>35</v>
      </c>
      <c r="F159" s="96" t="s">
        <v>568</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659</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660</v>
      </c>
      <c r="D161" s="96" t="str">
        <f t="shared" si="7"/>
        <v xml:space="preserve">                  Cask Inspection Equipment</v>
      </c>
      <c r="E161" s="96" t="s">
        <v>35</v>
      </c>
      <c r="F161" s="96" t="s">
        <v>622</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661</v>
      </c>
      <c r="D162" s="96" t="str">
        <f t="shared" si="7"/>
        <v xml:space="preserve">                  Cask Transfer Crane</v>
      </c>
      <c r="E162" s="96" t="s">
        <v>35</v>
      </c>
      <c r="F162" s="96" t="s">
        <v>622</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662</v>
      </c>
      <c r="D163" s="96" t="str">
        <f t="shared" si="7"/>
        <v xml:space="preserve">                  Cask Storage Rack</v>
      </c>
      <c r="E163" s="96" t="s">
        <v>35</v>
      </c>
      <c r="F163" s="96" t="s">
        <v>622</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663</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664</v>
      </c>
      <c r="D165" s="96" t="str">
        <f t="shared" si="7"/>
        <v xml:space="preserve">                  Plant Control Systems</v>
      </c>
      <c r="E165" s="96" t="s">
        <v>35</v>
      </c>
      <c r="F165" s="96" t="s">
        <v>568</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665</v>
      </c>
      <c r="D166" s="96" t="str">
        <f t="shared" si="7"/>
        <v xml:space="preserve">                  Instrumentation and Controls</v>
      </c>
      <c r="E166" s="96" t="s">
        <v>35</v>
      </c>
      <c r="F166" s="96" t="s">
        <v>568</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666</v>
      </c>
      <c r="D167" s="96" t="str">
        <f t="shared" si="7"/>
        <v xml:space="preserve">                  Process Computer</v>
      </c>
      <c r="E167" s="96" t="s">
        <v>35</v>
      </c>
      <c r="F167" s="96" t="s">
        <v>568</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667</v>
      </c>
      <c r="D168" s="96" t="str">
        <f t="shared" si="7"/>
        <v xml:space="preserve">                  Alarm System</v>
      </c>
      <c r="E168" s="96" t="s">
        <v>35</v>
      </c>
      <c r="F168" s="96" t="s">
        <v>568</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668</v>
      </c>
      <c r="D169" s="96" t="str">
        <f t="shared" si="7"/>
        <v xml:space="preserve">                  Monitoring System</v>
      </c>
      <c r="E169" s="96" t="s">
        <v>35</v>
      </c>
      <c r="F169" s="96" t="s">
        <v>568</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669</v>
      </c>
      <c r="D170" s="96" t="str">
        <f t="shared" si="7"/>
        <v xml:space="preserve">                  Communication System</v>
      </c>
      <c r="E170" s="96" t="s">
        <v>35</v>
      </c>
      <c r="F170" s="96" t="s">
        <v>568</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670</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671</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628</v>
      </c>
      <c r="D173" s="96" t="str">
        <f t="shared" si="7"/>
        <v xml:space="preserve">                  Operating Platform</v>
      </c>
      <c r="E173" s="96" t="s">
        <v>35</v>
      </c>
      <c r="F173" s="96" t="s">
        <v>599</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672</v>
      </c>
      <c r="D174" s="96" t="str">
        <f t="shared" si="7"/>
        <v xml:space="preserve">                  Fuel Handling Robot</v>
      </c>
      <c r="E174" s="96" t="s">
        <v>35</v>
      </c>
      <c r="F174" s="96" t="s">
        <v>599</v>
      </c>
      <c r="G174" s="97">
        <v>6</v>
      </c>
      <c r="H174" s="96"/>
      <c r="I174" s="103"/>
      <c r="J174" s="102">
        <v>232000</v>
      </c>
      <c r="K174" s="102"/>
      <c r="L174" s="108"/>
      <c r="M174" s="118"/>
      <c r="N174" s="108"/>
      <c r="O174" s="108"/>
      <c r="P174" s="105"/>
      <c r="Q174" s="105">
        <v>2023</v>
      </c>
      <c r="R174" s="108" t="s">
        <v>86</v>
      </c>
      <c r="S174" s="118" t="s">
        <v>623</v>
      </c>
      <c r="T174" s="108"/>
      <c r="U174" s="108"/>
      <c r="V174" s="108" t="s">
        <v>624</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625</v>
      </c>
      <c r="D175" s="96" t="str">
        <f t="shared" si="7"/>
        <v xml:space="preserve">                  Fuel Crane</v>
      </c>
      <c r="E175" s="96" t="s">
        <v>35</v>
      </c>
      <c r="F175" s="96" t="s">
        <v>599</v>
      </c>
      <c r="G175" s="97">
        <v>2</v>
      </c>
      <c r="H175" s="96"/>
      <c r="I175" s="103"/>
      <c r="J175" s="102">
        <v>1971000</v>
      </c>
      <c r="K175" s="102"/>
      <c r="L175" s="108"/>
      <c r="M175" s="118"/>
      <c r="N175" s="108"/>
      <c r="O175" s="108"/>
      <c r="P175" s="105"/>
      <c r="Q175" s="105">
        <v>2023</v>
      </c>
      <c r="R175" s="108" t="s">
        <v>86</v>
      </c>
      <c r="S175" s="118" t="s">
        <v>623</v>
      </c>
      <c r="T175" s="108"/>
      <c r="U175" s="108"/>
      <c r="V175" s="108" t="s">
        <v>626</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627</v>
      </c>
      <c r="D176" s="96" t="str">
        <f t="shared" si="7"/>
        <v xml:space="preserve">                  Reactor Crane</v>
      </c>
      <c r="E176" s="96" t="s">
        <v>35</v>
      </c>
      <c r="F176" s="96" t="s">
        <v>599</v>
      </c>
      <c r="G176" s="97">
        <v>1</v>
      </c>
      <c r="H176" s="96"/>
      <c r="I176" s="103"/>
      <c r="J176" s="102">
        <v>2738000</v>
      </c>
      <c r="K176" s="102"/>
      <c r="L176" s="108"/>
      <c r="M176" s="118"/>
      <c r="N176" s="108"/>
      <c r="O176" s="108"/>
      <c r="P176" s="105"/>
      <c r="Q176" s="105">
        <v>2023</v>
      </c>
      <c r="R176" s="108" t="s">
        <v>86</v>
      </c>
      <c r="S176" s="118" t="s">
        <v>623</v>
      </c>
      <c r="T176" s="108"/>
      <c r="U176" s="108"/>
      <c r="V176" s="108" t="s">
        <v>626</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634</v>
      </c>
      <c r="D177" s="96" t="str">
        <f t="shared" si="7"/>
        <v xml:space="preserve">                  Decontamination System</v>
      </c>
      <c r="E177" s="96" t="s">
        <v>35</v>
      </c>
      <c r="F177" s="96" t="s">
        <v>599</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673</v>
      </c>
      <c r="D178" s="96" t="str">
        <f t="shared" si="7"/>
        <v xml:space="preserve">                  Fueling Hot Cell Shielding</v>
      </c>
      <c r="E178" s="96" t="s">
        <v>35</v>
      </c>
      <c r="F178" s="96" t="s">
        <v>599</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674</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637</v>
      </c>
      <c r="D180" s="96" t="str">
        <f t="shared" ref="D180:D243" si="14">REPT("   ", B180*2) &amp; C180</f>
        <v xml:space="preserve">                  Handling Robot</v>
      </c>
      <c r="E180" s="96" t="s">
        <v>35</v>
      </c>
      <c r="F180" s="96" t="s">
        <v>601</v>
      </c>
      <c r="G180" s="97">
        <v>6</v>
      </c>
      <c r="H180" s="96"/>
      <c r="I180" s="103"/>
      <c r="J180" s="102">
        <v>232000</v>
      </c>
      <c r="K180" s="102"/>
      <c r="L180" s="108"/>
      <c r="M180" s="118"/>
      <c r="N180" s="108"/>
      <c r="O180" s="108"/>
      <c r="P180" s="105"/>
      <c r="Q180" s="105">
        <v>2023</v>
      </c>
      <c r="R180" s="108" t="s">
        <v>86</v>
      </c>
      <c r="S180" s="118" t="s">
        <v>623</v>
      </c>
      <c r="T180" s="108"/>
      <c r="U180" s="108"/>
      <c r="V180" s="108" t="s">
        <v>624</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628</v>
      </c>
      <c r="D181" s="96" t="str">
        <f t="shared" si="14"/>
        <v xml:space="preserve">                  Operating Platform</v>
      </c>
      <c r="E181" s="96" t="s">
        <v>35</v>
      </c>
      <c r="F181" s="96" t="s">
        <v>601</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638</v>
      </c>
      <c r="D182" s="96" t="str">
        <f t="shared" si="14"/>
        <v xml:space="preserve">                  Primary Heat Transport System</v>
      </c>
      <c r="E182" s="96" t="s">
        <v>35</v>
      </c>
      <c r="F182" s="96" t="s">
        <v>601</v>
      </c>
      <c r="G182" s="97">
        <v>1</v>
      </c>
      <c r="H182" s="96"/>
      <c r="I182" s="103"/>
      <c r="J182" s="102"/>
      <c r="K182" s="102"/>
      <c r="L182" s="108"/>
      <c r="M182" s="118"/>
      <c r="N182" s="108"/>
      <c r="O182" s="108"/>
      <c r="P182" s="105"/>
      <c r="Q182" s="105"/>
      <c r="R182" s="108"/>
      <c r="S182" s="118"/>
      <c r="T182" s="108"/>
      <c r="U182" s="108"/>
      <c r="V182" s="108" t="s">
        <v>639</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634</v>
      </c>
      <c r="D183" s="96" t="str">
        <f t="shared" si="14"/>
        <v xml:space="preserve">                  Decontamination System</v>
      </c>
      <c r="E183" s="96" t="s">
        <v>35</v>
      </c>
      <c r="F183" s="96" t="s">
        <v>601</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640</v>
      </c>
      <c r="D184" s="96" t="str">
        <f t="shared" si="14"/>
        <v xml:space="preserve">                  Testing Hot Cell Shielding</v>
      </c>
      <c r="E184" s="96" t="s">
        <v>35</v>
      </c>
      <c r="F184" s="96" t="s">
        <v>601</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675</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625</v>
      </c>
      <c r="D186" s="96" t="str">
        <f t="shared" si="14"/>
        <v xml:space="preserve">                  Fuel Crane</v>
      </c>
      <c r="E186" s="96" t="s">
        <v>35</v>
      </c>
      <c r="F186" s="96" t="s">
        <v>599</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676</v>
      </c>
      <c r="D187" s="96" t="str">
        <f t="shared" si="14"/>
        <v xml:space="preserve">                  Fresh Fuel Inspection Equipment</v>
      </c>
      <c r="E187" s="96" t="s">
        <v>35</v>
      </c>
      <c r="F187" s="96" t="s">
        <v>599</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677</v>
      </c>
      <c r="D188" s="96" t="str">
        <f t="shared" si="14"/>
        <v xml:space="preserve">                  Fresh Fuel Cask Storage Racks</v>
      </c>
      <c r="E188" s="96" t="s">
        <v>35</v>
      </c>
      <c r="F188" s="96" t="s">
        <v>599</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641</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642</v>
      </c>
      <c r="D190" s="96" t="str">
        <f t="shared" si="14"/>
        <v xml:space="preserve">                  Fire Protection Equipment</v>
      </c>
      <c r="E190" s="96" t="s">
        <v>35</v>
      </c>
      <c r="F190" s="96" t="s">
        <v>568</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643</v>
      </c>
      <c r="D191" s="96" t="str">
        <f t="shared" si="14"/>
        <v xml:space="preserve">                  Service Water/Air/Steam System</v>
      </c>
      <c r="E191" s="96" t="s">
        <v>35</v>
      </c>
      <c r="F191" s="96" t="s">
        <v>568</v>
      </c>
      <c r="G191" s="97">
        <v>1</v>
      </c>
      <c r="H191" s="96"/>
      <c r="I191" s="103"/>
      <c r="J191" s="102"/>
      <c r="K191" s="102">
        <f>111284601/N191</f>
        <v>32567.925373134327</v>
      </c>
      <c r="L191" s="108"/>
      <c r="M191" s="118" t="s">
        <v>678</v>
      </c>
      <c r="N191" s="108">
        <v>3417</v>
      </c>
      <c r="O191" s="108" t="s">
        <v>100</v>
      </c>
      <c r="P191" s="105">
        <v>0.8</v>
      </c>
      <c r="Q191" s="105">
        <v>2018</v>
      </c>
      <c r="R191" s="108" t="s">
        <v>86</v>
      </c>
      <c r="S191" s="118" t="s">
        <v>189</v>
      </c>
      <c r="T191" s="108"/>
      <c r="U191" s="108"/>
      <c r="V191" s="108" t="s">
        <v>645</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646</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647</v>
      </c>
      <c r="D193" s="96" t="str">
        <f t="shared" si="14"/>
        <v xml:space="preserve">                        Gas Waste System</v>
      </c>
      <c r="E193" s="96" t="s">
        <v>35</v>
      </c>
      <c r="F193" s="96" t="s">
        <v>568</v>
      </c>
      <c r="G193" s="97">
        <v>1</v>
      </c>
      <c r="H193" s="96"/>
      <c r="I193" s="103"/>
      <c r="J193" s="102"/>
      <c r="K193" s="102">
        <f>3330589.8/N193</f>
        <v>974.71167690956975</v>
      </c>
      <c r="L193" s="108" t="s">
        <v>98</v>
      </c>
      <c r="M193" s="118" t="s">
        <v>678</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648</v>
      </c>
      <c r="D194" s="96" t="str">
        <f t="shared" si="14"/>
        <v xml:space="preserve">                        Liquid Waste System</v>
      </c>
      <c r="E194" s="96" t="s">
        <v>35</v>
      </c>
      <c r="F194" s="96" t="s">
        <v>568</v>
      </c>
      <c r="G194" s="97">
        <v>1</v>
      </c>
      <c r="H194" s="96"/>
      <c r="I194" s="103"/>
      <c r="J194" s="102"/>
      <c r="K194" s="102">
        <f>33058834.16/N194</f>
        <v>9674.8124553702073</v>
      </c>
      <c r="L194" s="108" t="s">
        <v>98</v>
      </c>
      <c r="M194" s="118" t="s">
        <v>678</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649</v>
      </c>
      <c r="D195" s="96" t="str">
        <f t="shared" si="14"/>
        <v xml:space="preserve">                        Solid Waste System</v>
      </c>
      <c r="E195" s="96" t="s">
        <v>35</v>
      </c>
      <c r="F195" s="96" t="s">
        <v>568</v>
      </c>
      <c r="G195" s="97">
        <v>1</v>
      </c>
      <c r="H195" s="96"/>
      <c r="I195" s="103"/>
      <c r="J195" s="102"/>
      <c r="K195" s="102">
        <f>15805121.88/N195</f>
        <v>4625.438068481124</v>
      </c>
      <c r="L195" s="108" t="s">
        <v>98</v>
      </c>
      <c r="M195" s="118" t="s">
        <v>678</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650</v>
      </c>
      <c r="D196" s="96" t="str">
        <f t="shared" si="14"/>
        <v xml:space="preserve">                  Inert Gas System</v>
      </c>
      <c r="E196" s="96" t="s">
        <v>35</v>
      </c>
      <c r="F196" s="96" t="s">
        <v>568</v>
      </c>
      <c r="G196" s="97">
        <v>1</v>
      </c>
      <c r="H196" s="96"/>
      <c r="I196" s="103"/>
      <c r="J196" s="102"/>
      <c r="K196" s="102">
        <f>8275000/N196</f>
        <v>41.159063091397293</v>
      </c>
      <c r="L196" s="108" t="s">
        <v>80</v>
      </c>
      <c r="M196" s="118" t="s">
        <v>679</v>
      </c>
      <c r="N196" s="108">
        <v>201049.28</v>
      </c>
      <c r="O196" s="108" t="s">
        <v>82</v>
      </c>
      <c r="P196" s="105">
        <v>0.6</v>
      </c>
      <c r="Q196" s="105">
        <v>1978</v>
      </c>
      <c r="R196" s="108" t="s">
        <v>86</v>
      </c>
      <c r="S196" s="118"/>
      <c r="T196" s="108" t="s">
        <v>652</v>
      </c>
      <c r="U196" s="119" t="s">
        <v>653</v>
      </c>
      <c r="V196" s="108" t="s">
        <v>654</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663</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664</v>
      </c>
      <c r="D198" s="96" t="str">
        <f t="shared" si="14"/>
        <v xml:space="preserve">                  Plant Control Systems</v>
      </c>
      <c r="E198" s="96" t="s">
        <v>35</v>
      </c>
      <c r="F198" s="96" t="s">
        <v>568</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665</v>
      </c>
      <c r="D199" s="96" t="str">
        <f t="shared" si="14"/>
        <v xml:space="preserve">                  Instrumentation and Controls</v>
      </c>
      <c r="E199" s="96" t="s">
        <v>35</v>
      </c>
      <c r="F199" s="96" t="s">
        <v>568</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666</v>
      </c>
      <c r="D200" s="96" t="str">
        <f t="shared" si="14"/>
        <v xml:space="preserve">                  Process Computer</v>
      </c>
      <c r="E200" s="96" t="s">
        <v>35</v>
      </c>
      <c r="F200" s="96" t="s">
        <v>568</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667</v>
      </c>
      <c r="D201" s="96" t="str">
        <f t="shared" si="14"/>
        <v xml:space="preserve">                  Alarm System</v>
      </c>
      <c r="E201" s="96" t="s">
        <v>35</v>
      </c>
      <c r="F201" s="96" t="s">
        <v>568</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668</v>
      </c>
      <c r="D202" s="96" t="str">
        <f t="shared" si="14"/>
        <v xml:space="preserve">                  Monitoring System</v>
      </c>
      <c r="E202" s="96" t="s">
        <v>35</v>
      </c>
      <c r="F202" s="96" t="s">
        <v>568</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669</v>
      </c>
      <c r="D203" s="96" t="str">
        <f t="shared" si="14"/>
        <v xml:space="preserve">                  Communication System</v>
      </c>
      <c r="E203" s="96" t="s">
        <v>35</v>
      </c>
      <c r="F203" s="96" t="s">
        <v>568</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680</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647</v>
      </c>
      <c r="D205" s="96" t="str">
        <f t="shared" si="14"/>
        <v xml:space="preserve">            Gas Waste System</v>
      </c>
      <c r="E205" s="96" t="s">
        <v>35</v>
      </c>
      <c r="F205" s="96" t="s">
        <v>568</v>
      </c>
      <c r="G205" s="97">
        <v>1</v>
      </c>
      <c r="H205" s="96"/>
      <c r="I205" s="103"/>
      <c r="J205" s="102"/>
      <c r="K205" s="102">
        <f>3330589.8/N205</f>
        <v>974.71167690956975</v>
      </c>
      <c r="L205" s="108" t="s">
        <v>98</v>
      </c>
      <c r="M205" s="118" t="s">
        <v>681</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648</v>
      </c>
      <c r="D206" s="96" t="str">
        <f t="shared" si="14"/>
        <v xml:space="preserve">            Liquid Waste System</v>
      </c>
      <c r="E206" s="96" t="s">
        <v>35</v>
      </c>
      <c r="F206" s="96" t="s">
        <v>568</v>
      </c>
      <c r="G206" s="97">
        <v>1</v>
      </c>
      <c r="H206" s="96"/>
      <c r="I206" s="103"/>
      <c r="J206" s="102"/>
      <c r="K206" s="102">
        <f>33058834.16/N206</f>
        <v>9674.8124553702073</v>
      </c>
      <c r="L206" s="108" t="s">
        <v>98</v>
      </c>
      <c r="M206" s="118" t="s">
        <v>681</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649</v>
      </c>
      <c r="D207" s="96" t="str">
        <f t="shared" si="14"/>
        <v xml:space="preserve">            Solid Waste System</v>
      </c>
      <c r="E207" s="96" t="s">
        <v>35</v>
      </c>
      <c r="F207" s="96" t="s">
        <v>568</v>
      </c>
      <c r="G207" s="97">
        <v>1</v>
      </c>
      <c r="H207" s="96"/>
      <c r="I207" s="103"/>
      <c r="J207" s="102"/>
      <c r="K207" s="102">
        <f>15805121.88/N207</f>
        <v>4625.438068481124</v>
      </c>
      <c r="L207" s="108" t="s">
        <v>98</v>
      </c>
      <c r="M207" s="118" t="s">
        <v>681</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641</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642</v>
      </c>
      <c r="D209" s="96" t="str">
        <f t="shared" si="14"/>
        <v xml:space="preserve">                  Fire Protection Equipment</v>
      </c>
      <c r="E209" s="96" t="s">
        <v>35</v>
      </c>
      <c r="F209" s="96" t="s">
        <v>568</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643</v>
      </c>
      <c r="D210" s="96" t="str">
        <f t="shared" si="14"/>
        <v xml:space="preserve">                  Service Water/Air/Steam System</v>
      </c>
      <c r="E210" s="96" t="s">
        <v>35</v>
      </c>
      <c r="F210" s="96" t="s">
        <v>568</v>
      </c>
      <c r="G210" s="97">
        <v>1</v>
      </c>
      <c r="H210" s="96"/>
      <c r="I210" s="103"/>
      <c r="J210" s="102"/>
      <c r="K210" s="102">
        <f>111284601/N210</f>
        <v>32567.925373134327</v>
      </c>
      <c r="L210" s="108"/>
      <c r="M210" s="118" t="s">
        <v>644</v>
      </c>
      <c r="N210" s="108">
        <v>3417</v>
      </c>
      <c r="O210" s="108" t="s">
        <v>100</v>
      </c>
      <c r="P210" s="105">
        <v>0.8</v>
      </c>
      <c r="Q210" s="105">
        <v>2018</v>
      </c>
      <c r="R210" s="108" t="s">
        <v>86</v>
      </c>
      <c r="S210" s="118" t="s">
        <v>189</v>
      </c>
      <c r="T210" s="108"/>
      <c r="U210" s="108"/>
      <c r="V210" s="108" t="s">
        <v>645</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650</v>
      </c>
      <c r="D211" s="96" t="str">
        <f t="shared" si="14"/>
        <v xml:space="preserve">                  Inert Gas System</v>
      </c>
      <c r="E211" s="96" t="s">
        <v>35</v>
      </c>
      <c r="F211" s="96" t="s">
        <v>568</v>
      </c>
      <c r="G211" s="97">
        <v>1</v>
      </c>
      <c r="H211" s="96"/>
      <c r="I211" s="103"/>
      <c r="J211" s="102"/>
      <c r="K211" s="102">
        <f>8275000/N211</f>
        <v>41.159063091397293</v>
      </c>
      <c r="L211" s="108" t="s">
        <v>80</v>
      </c>
      <c r="M211" s="118" t="s">
        <v>608</v>
      </c>
      <c r="N211" s="108">
        <v>201049.28</v>
      </c>
      <c r="O211" s="108" t="s">
        <v>82</v>
      </c>
      <c r="P211" s="105">
        <v>0.6</v>
      </c>
      <c r="Q211" s="105">
        <v>1978</v>
      </c>
      <c r="R211" s="108" t="s">
        <v>86</v>
      </c>
      <c r="S211" s="118"/>
      <c r="T211" s="108" t="s">
        <v>652</v>
      </c>
      <c r="U211" s="119" t="s">
        <v>653</v>
      </c>
      <c r="V211" s="108" t="s">
        <v>654</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634</v>
      </c>
      <c r="D212" s="96" t="str">
        <f t="shared" si="14"/>
        <v xml:space="preserve">                  Decontamination System</v>
      </c>
      <c r="E212" s="96" t="s">
        <v>35</v>
      </c>
      <c r="F212" s="96" t="s">
        <v>568</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682</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660</v>
      </c>
      <c r="D214" s="96" t="str">
        <f t="shared" si="14"/>
        <v xml:space="preserve">                  Cask Inspection Equipment</v>
      </c>
      <c r="E214" s="96" t="s">
        <v>35</v>
      </c>
      <c r="F214" s="96" t="s">
        <v>622</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661</v>
      </c>
      <c r="D215" s="96" t="str">
        <f t="shared" si="14"/>
        <v xml:space="preserve">                  Cask Transfer Crane</v>
      </c>
      <c r="E215" s="96" t="s">
        <v>35</v>
      </c>
      <c r="F215" s="96" t="s">
        <v>622</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662</v>
      </c>
      <c r="D216" s="96" t="str">
        <f t="shared" si="14"/>
        <v xml:space="preserve">                  Cask Storage Rack</v>
      </c>
      <c r="E216" s="96" t="s">
        <v>35</v>
      </c>
      <c r="F216" s="96" t="s">
        <v>622</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663</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664</v>
      </c>
      <c r="D218" s="96" t="str">
        <f t="shared" si="14"/>
        <v xml:space="preserve">                  Plant Control Systems</v>
      </c>
      <c r="E218" s="96" t="s">
        <v>35</v>
      </c>
      <c r="F218" s="96" t="s">
        <v>568</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665</v>
      </c>
      <c r="D219" s="96" t="str">
        <f t="shared" si="14"/>
        <v xml:space="preserve">                  Instrumentation and Controls</v>
      </c>
      <c r="E219" s="96" t="s">
        <v>35</v>
      </c>
      <c r="F219" s="96" t="s">
        <v>568</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666</v>
      </c>
      <c r="D220" s="96" t="str">
        <f t="shared" si="14"/>
        <v xml:space="preserve">                  Process Computer</v>
      </c>
      <c r="E220" s="96" t="s">
        <v>35</v>
      </c>
      <c r="F220" s="96" t="s">
        <v>568</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667</v>
      </c>
      <c r="D221" s="96" t="str">
        <f t="shared" si="14"/>
        <v xml:space="preserve">                  Alarm System</v>
      </c>
      <c r="E221" s="96" t="s">
        <v>35</v>
      </c>
      <c r="F221" s="96" t="s">
        <v>568</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668</v>
      </c>
      <c r="D222" s="96" t="str">
        <f t="shared" si="14"/>
        <v xml:space="preserve">                  Monitoring System</v>
      </c>
      <c r="E222" s="96" t="s">
        <v>35</v>
      </c>
      <c r="F222" s="96" t="s">
        <v>568</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669</v>
      </c>
      <c r="D223" s="96" t="str">
        <f t="shared" si="14"/>
        <v xml:space="preserve">                  Communication System</v>
      </c>
      <c r="E223" s="96" t="s">
        <v>35</v>
      </c>
      <c r="F223" s="96" t="s">
        <v>568</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340</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341</v>
      </c>
      <c r="D225" s="96" t="str">
        <f t="shared" si="14"/>
        <v xml:space="preserve">            Switchgear</v>
      </c>
      <c r="E225" s="96" t="s">
        <v>35</v>
      </c>
      <c r="F225" s="96" t="s">
        <v>568</v>
      </c>
      <c r="G225" s="97">
        <v>1</v>
      </c>
      <c r="H225" s="96"/>
      <c r="I225" s="103"/>
      <c r="J225" s="102"/>
      <c r="K225" s="102">
        <f>14424707.2061682/N225</f>
        <v>12609.009795601574</v>
      </c>
      <c r="L225" s="108" t="s">
        <v>50</v>
      </c>
      <c r="M225" s="103" t="s">
        <v>683</v>
      </c>
      <c r="N225" s="108">
        <v>1144</v>
      </c>
      <c r="O225" s="108" t="s">
        <v>52</v>
      </c>
      <c r="P225" s="105">
        <v>0.6</v>
      </c>
      <c r="Q225" s="105">
        <v>2018</v>
      </c>
      <c r="R225" s="108" t="s">
        <v>86</v>
      </c>
      <c r="S225" s="146" t="s">
        <v>342</v>
      </c>
      <c r="T225" s="146" t="s">
        <v>343</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344</v>
      </c>
      <c r="D226" s="96" t="str">
        <f t="shared" si="14"/>
        <v xml:space="preserve">            Station Service Equipment</v>
      </c>
      <c r="E226" s="96" t="s">
        <v>35</v>
      </c>
      <c r="F226" s="96" t="s">
        <v>568</v>
      </c>
      <c r="G226" s="97">
        <v>1</v>
      </c>
      <c r="H226" s="96"/>
      <c r="I226" s="103"/>
      <c r="J226" s="102"/>
      <c r="K226" s="102">
        <f>11992641.3775456/N225</f>
        <v>10483.078127225175</v>
      </c>
      <c r="L226" s="108" t="s">
        <v>50</v>
      </c>
      <c r="M226" s="103" t="s">
        <v>683</v>
      </c>
      <c r="N226" s="108">
        <v>1144</v>
      </c>
      <c r="O226" s="108" t="s">
        <v>52</v>
      </c>
      <c r="P226" s="105">
        <v>0.6</v>
      </c>
      <c r="Q226" s="105">
        <v>2018</v>
      </c>
      <c r="R226" s="108" t="s">
        <v>86</v>
      </c>
      <c r="S226" s="142"/>
      <c r="T226" s="142"/>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345</v>
      </c>
      <c r="D227" s="96" t="str">
        <f t="shared" si="14"/>
        <v xml:space="preserve">            Switchboards</v>
      </c>
      <c r="E227" s="96" t="s">
        <v>35</v>
      </c>
      <c r="F227" s="96" t="s">
        <v>568</v>
      </c>
      <c r="G227" s="97">
        <v>1</v>
      </c>
      <c r="H227" s="96"/>
      <c r="I227" s="103"/>
      <c r="J227" s="102"/>
      <c r="K227" s="102">
        <f>14424707.2061682/N227</f>
        <v>12609.009795601574</v>
      </c>
      <c r="L227" s="108" t="s">
        <v>50</v>
      </c>
      <c r="M227" s="103" t="s">
        <v>683</v>
      </c>
      <c r="N227" s="108">
        <v>1144</v>
      </c>
      <c r="O227" s="108" t="s">
        <v>52</v>
      </c>
      <c r="P227" s="105">
        <v>0.6</v>
      </c>
      <c r="Q227" s="105">
        <v>2018</v>
      </c>
      <c r="R227" s="108" t="s">
        <v>86</v>
      </c>
      <c r="S227" s="142"/>
      <c r="T227" s="142"/>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346</v>
      </c>
      <c r="D228" s="96" t="str">
        <f t="shared" si="14"/>
        <v xml:space="preserve">            Protective Equipment</v>
      </c>
      <c r="E228" s="96" t="s">
        <v>35</v>
      </c>
      <c r="F228" s="96" t="s">
        <v>568</v>
      </c>
      <c r="G228" s="97">
        <v>1</v>
      </c>
      <c r="H228" s="96"/>
      <c r="I228" s="103"/>
      <c r="J228" s="102"/>
      <c r="K228" s="102">
        <f>11992641.3775456/N227</f>
        <v>10483.078127225175</v>
      </c>
      <c r="L228" s="108" t="s">
        <v>50</v>
      </c>
      <c r="M228" s="103" t="s">
        <v>683</v>
      </c>
      <c r="N228" s="108">
        <v>1144</v>
      </c>
      <c r="O228" s="108" t="s">
        <v>52</v>
      </c>
      <c r="P228" s="105">
        <v>0.6</v>
      </c>
      <c r="Q228" s="105">
        <v>2018</v>
      </c>
      <c r="R228" s="108" t="s">
        <v>86</v>
      </c>
      <c r="S228" s="142"/>
      <c r="T228" s="142"/>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347</v>
      </c>
      <c r="D229" s="96" t="str">
        <f t="shared" si="14"/>
        <v xml:space="preserve">            Electrical Structure &amp; Wiring Container</v>
      </c>
      <c r="E229" s="96" t="s">
        <v>35</v>
      </c>
      <c r="F229" s="96" t="s">
        <v>568</v>
      </c>
      <c r="G229" s="97">
        <v>1</v>
      </c>
      <c r="H229" s="96"/>
      <c r="I229" s="96"/>
      <c r="J229" s="110"/>
      <c r="K229" s="102">
        <f>3894246.37400843/N227</f>
        <v>3404.0615157416346</v>
      </c>
      <c r="L229" s="108" t="s">
        <v>50</v>
      </c>
      <c r="M229" s="103" t="s">
        <v>683</v>
      </c>
      <c r="N229" s="108">
        <v>1144</v>
      </c>
      <c r="O229" s="108" t="s">
        <v>52</v>
      </c>
      <c r="P229" s="105">
        <v>0.6</v>
      </c>
      <c r="Q229" s="105">
        <v>2018</v>
      </c>
      <c r="R229" s="108" t="s">
        <v>86</v>
      </c>
      <c r="S229" s="142"/>
      <c r="T229" s="142"/>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348</v>
      </c>
      <c r="D230" s="96" t="str">
        <f t="shared" si="14"/>
        <v xml:space="preserve">            Power &amp; Control Wiring</v>
      </c>
      <c r="E230" s="96" t="s">
        <v>35</v>
      </c>
      <c r="F230" s="96" t="s">
        <v>568</v>
      </c>
      <c r="G230" s="97">
        <v>1</v>
      </c>
      <c r="H230" s="96"/>
      <c r="I230" s="96"/>
      <c r="J230" s="110"/>
      <c r="K230" s="102">
        <f>11183911.9256997/N227</f>
        <v>9776.1467881990375</v>
      </c>
      <c r="L230" s="108" t="s">
        <v>50</v>
      </c>
      <c r="M230" s="103" t="s">
        <v>683</v>
      </c>
      <c r="N230" s="108">
        <v>1144</v>
      </c>
      <c r="O230" s="108" t="s">
        <v>52</v>
      </c>
      <c r="P230" s="105">
        <v>0.6</v>
      </c>
      <c r="Q230" s="105">
        <v>2018</v>
      </c>
      <c r="R230" s="108" t="s">
        <v>86</v>
      </c>
      <c r="S230" s="143"/>
      <c r="T230" s="143"/>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684</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685</v>
      </c>
      <c r="D232" s="96" t="str">
        <f t="shared" si="14"/>
        <v xml:space="preserve">            Physical Security Systems</v>
      </c>
      <c r="E232" s="96" t="s">
        <v>35</v>
      </c>
      <c r="F232" s="96" t="s">
        <v>568</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686</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687</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688</v>
      </c>
      <c r="D235" s="96" t="str">
        <f t="shared" si="14"/>
        <v xml:space="preserve">                  Local Transport Vehicle</v>
      </c>
      <c r="E235" s="96" t="s">
        <v>35</v>
      </c>
      <c r="F235" s="96" t="s">
        <v>689</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690</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691</v>
      </c>
      <c r="D237" s="96" t="str">
        <f t="shared" si="14"/>
        <v xml:space="preserve">                  Large Cargo Transport Vehicle</v>
      </c>
      <c r="E237" s="96" t="s">
        <v>35</v>
      </c>
      <c r="F237" s="96" t="s">
        <v>692</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693</v>
      </c>
      <c r="D238" s="96" t="str">
        <f t="shared" si="14"/>
        <v xml:space="preserve">                  Used Reactor Transport Vehicle</v>
      </c>
      <c r="E238" s="96" t="s">
        <v>35</v>
      </c>
      <c r="F238" s="96" t="s">
        <v>694</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695</v>
      </c>
      <c r="D239" s="96" t="str">
        <f t="shared" si="14"/>
        <v xml:space="preserve">                  Operational Spares/Waste Transport Vehicle</v>
      </c>
      <c r="E239" s="96" t="s">
        <v>35</v>
      </c>
      <c r="F239" s="96" t="s">
        <v>696</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697</v>
      </c>
      <c r="D240" s="96" t="str">
        <f t="shared" si="14"/>
        <v xml:space="preserve">            Vehicle Inspection and Maintenance Equipment</v>
      </c>
      <c r="E240" s="96" t="s">
        <v>35</v>
      </c>
      <c r="F240" s="96" t="s">
        <v>568</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368</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369</v>
      </c>
      <c r="D242" s="96" t="str">
        <f t="shared" si="14"/>
        <v xml:space="preserve">      Factory &amp; field indirect costs</v>
      </c>
      <c r="E242" s="96" t="s">
        <v>35</v>
      </c>
      <c r="F242" s="96" t="s">
        <v>568</v>
      </c>
      <c r="G242" s="97">
        <v>1</v>
      </c>
      <c r="H242" s="96"/>
      <c r="I242" s="96"/>
      <c r="J242" s="102"/>
      <c r="K242" s="102"/>
      <c r="L242" s="104"/>
      <c r="M242" s="113"/>
      <c r="N242" s="104"/>
      <c r="O242" s="104"/>
      <c r="P242" s="112"/>
      <c r="Q242" s="105">
        <v>2024</v>
      </c>
      <c r="R242" s="104" t="s">
        <v>73</v>
      </c>
      <c r="S242" s="141" t="s">
        <v>318</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370</v>
      </c>
      <c r="D243" s="96" t="str">
        <f t="shared" si="14"/>
        <v xml:space="preserve">      Factory and construction supervision</v>
      </c>
      <c r="E243" s="96" t="s">
        <v>35</v>
      </c>
      <c r="F243" s="96" t="s">
        <v>568</v>
      </c>
      <c r="G243" s="97">
        <v>1</v>
      </c>
      <c r="H243" s="96"/>
      <c r="I243" s="96"/>
      <c r="J243" s="102"/>
      <c r="K243" s="102"/>
      <c r="L243" s="104"/>
      <c r="M243" s="113"/>
      <c r="N243" s="104"/>
      <c r="O243" s="104"/>
      <c r="P243" s="112"/>
      <c r="Q243" s="105">
        <v>2024</v>
      </c>
      <c r="R243" s="104" t="s">
        <v>73</v>
      </c>
      <c r="S243" s="142"/>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371</v>
      </c>
      <c r="D244" s="96" t="str">
        <f t="shared" ref="D244:D268" si="32">REPT("   ", B244*2) &amp; C244</f>
        <v xml:space="preserve">      Startup Costs</v>
      </c>
      <c r="E244" s="96" t="s">
        <v>35</v>
      </c>
      <c r="F244" s="96" t="s">
        <v>568</v>
      </c>
      <c r="G244" s="97">
        <v>1</v>
      </c>
      <c r="H244" s="96"/>
      <c r="I244" s="96"/>
      <c r="J244" s="102"/>
      <c r="K244" s="102"/>
      <c r="L244" s="108"/>
      <c r="M244" s="118"/>
      <c r="N244" s="108"/>
      <c r="O244" s="108"/>
      <c r="P244" s="105"/>
      <c r="Q244" s="105">
        <v>2024</v>
      </c>
      <c r="R244" s="108" t="s">
        <v>53</v>
      </c>
      <c r="S244" s="142"/>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372</v>
      </c>
      <c r="D245" s="96" t="str">
        <f t="shared" si="32"/>
        <v xml:space="preserve">      Shipping and Transportation Costs</v>
      </c>
      <c r="E245" s="96" t="s">
        <v>35</v>
      </c>
      <c r="F245" s="96" t="s">
        <v>568</v>
      </c>
      <c r="G245" s="97">
        <v>1</v>
      </c>
      <c r="H245" s="96"/>
      <c r="I245" s="96"/>
      <c r="J245" s="102"/>
      <c r="K245" s="102"/>
      <c r="L245" s="108"/>
      <c r="M245" s="118"/>
      <c r="N245" s="108"/>
      <c r="O245" s="108"/>
      <c r="P245" s="105"/>
      <c r="Q245" s="105">
        <v>2024</v>
      </c>
      <c r="R245" s="108" t="s">
        <v>53</v>
      </c>
      <c r="S245" s="143"/>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373</v>
      </c>
      <c r="D246" s="96" t="str">
        <f t="shared" si="32"/>
        <v xml:space="preserve">      Engineering Services</v>
      </c>
      <c r="E246" s="96" t="s">
        <v>35</v>
      </c>
      <c r="F246" s="96" t="s">
        <v>568</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374</v>
      </c>
      <c r="D247" s="96" t="str">
        <f t="shared" si="32"/>
        <v xml:space="preserve">      PM/CM Services</v>
      </c>
      <c r="E247" s="96" t="s">
        <v>35</v>
      </c>
      <c r="F247" s="96" t="s">
        <v>568</v>
      </c>
      <c r="G247" s="97">
        <v>1</v>
      </c>
      <c r="H247" s="96"/>
      <c r="I247" s="96"/>
      <c r="J247" s="102"/>
      <c r="K247" s="102"/>
      <c r="L247" s="108"/>
      <c r="M247" s="118"/>
      <c r="N247" s="108"/>
      <c r="O247" s="108"/>
      <c r="P247" s="105"/>
      <c r="Q247" s="105">
        <v>2024</v>
      </c>
      <c r="R247" s="108" t="s">
        <v>53</v>
      </c>
      <c r="S247" s="101"/>
      <c r="T247" s="108" t="s">
        <v>377</v>
      </c>
      <c r="U247" s="108" t="s">
        <v>378</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375</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376</v>
      </c>
      <c r="D249" s="96" t="str">
        <f t="shared" si="32"/>
        <v xml:space="preserve">      staff recruitment and training</v>
      </c>
      <c r="E249" s="96" t="s">
        <v>35</v>
      </c>
      <c r="F249" s="96" t="s">
        <v>568</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379</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380</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381</v>
      </c>
      <c r="D252" s="96" t="str">
        <f t="shared" si="32"/>
        <v xml:space="preserve">Annualized O&amp;M Cost </v>
      </c>
      <c r="E252" s="96"/>
      <c r="F252" s="96"/>
      <c r="G252" s="97"/>
      <c r="H252" s="96"/>
      <c r="I252" s="96"/>
      <c r="J252" s="102"/>
      <c r="K252" s="102">
        <v>178500</v>
      </c>
      <c r="L252" s="108" t="s">
        <v>384</v>
      </c>
      <c r="M252" s="118" t="s">
        <v>385</v>
      </c>
      <c r="N252" s="108"/>
      <c r="O252" s="108"/>
      <c r="P252" s="105">
        <v>1</v>
      </c>
      <c r="Q252" s="105">
        <v>2024</v>
      </c>
      <c r="R252" s="108" t="s">
        <v>53</v>
      </c>
      <c r="S252" s="118"/>
      <c r="T252" s="118" t="s">
        <v>386</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382</v>
      </c>
      <c r="D253" s="96" t="str">
        <f t="shared" si="32"/>
        <v xml:space="preserve">      O&amp;M Staff</v>
      </c>
      <c r="E253" s="96"/>
      <c r="F253" s="96"/>
      <c r="G253" s="97"/>
      <c r="H253" s="96"/>
      <c r="I253" s="96"/>
      <c r="J253" s="102"/>
      <c r="K253" s="102">
        <v>178500</v>
      </c>
      <c r="L253" s="108" t="s">
        <v>384</v>
      </c>
      <c r="M253" s="118" t="s">
        <v>390</v>
      </c>
      <c r="N253" s="108"/>
      <c r="O253" s="108"/>
      <c r="P253" s="105">
        <v>1</v>
      </c>
      <c r="Q253" s="105">
        <v>2024</v>
      </c>
      <c r="R253" s="108" t="s">
        <v>53</v>
      </c>
      <c r="S253" s="118"/>
      <c r="T253" s="118" t="s">
        <v>386</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383</v>
      </c>
      <c r="D254" s="96" t="str">
        <f t="shared" si="32"/>
        <v xml:space="preserve">            Operators </v>
      </c>
      <c r="E254" s="96" t="s">
        <v>266</v>
      </c>
      <c r="F254" s="96"/>
      <c r="G254" s="97"/>
      <c r="H254" s="96"/>
      <c r="I254" s="96"/>
      <c r="J254" s="102"/>
      <c r="K254" s="102">
        <v>178500</v>
      </c>
      <c r="L254" s="108" t="s">
        <v>384</v>
      </c>
      <c r="M254" s="118" t="s">
        <v>392</v>
      </c>
      <c r="N254" s="108"/>
      <c r="O254" s="108"/>
      <c r="P254" s="105">
        <v>1</v>
      </c>
      <c r="Q254" s="105">
        <v>2024</v>
      </c>
      <c r="R254" s="108" t="s">
        <v>53</v>
      </c>
      <c r="S254" s="118"/>
      <c r="T254" s="118" t="s">
        <v>386</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387</v>
      </c>
      <c r="D255" s="96" t="str">
        <f t="shared" si="32"/>
        <v xml:space="preserve">            Remote Monitoring Technicians </v>
      </c>
      <c r="E255" s="96" t="s">
        <v>266</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391</v>
      </c>
      <c r="D256" s="96" t="str">
        <f t="shared" si="32"/>
        <v xml:space="preserve">            Security Staff </v>
      </c>
      <c r="E256" s="96" t="s">
        <v>266</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698</v>
      </c>
      <c r="D257" s="96" t="str">
        <f t="shared" si="32"/>
        <v xml:space="preserve">            Maintenance Staff</v>
      </c>
      <c r="E257" s="96" t="s">
        <v>266</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699</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700</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701</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702</v>
      </c>
      <c r="D261" s="96" t="str">
        <f t="shared" si="32"/>
        <v xml:space="preserve">                  Annualized Transportation Costs</v>
      </c>
      <c r="E261" s="96" t="s">
        <v>35</v>
      </c>
      <c r="F261" s="96" t="s">
        <v>568</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703</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704</v>
      </c>
      <c r="D263" s="96" t="str">
        <f t="shared" si="32"/>
        <v xml:space="preserve">                        Spent Fuel Cask</v>
      </c>
      <c r="E263" s="96" t="s">
        <v>35</v>
      </c>
      <c r="F263" s="96" t="s">
        <v>705</v>
      </c>
      <c r="G263" s="97">
        <v>1</v>
      </c>
      <c r="H263" s="96"/>
      <c r="I263" s="96"/>
      <c r="J263" s="102">
        <v>1159000</v>
      </c>
      <c r="K263" s="102"/>
      <c r="L263" s="108"/>
      <c r="M263" s="118"/>
      <c r="N263" s="108"/>
      <c r="O263" s="108"/>
      <c r="P263" s="105"/>
      <c r="Q263" s="105">
        <v>2023</v>
      </c>
      <c r="R263" s="108" t="s">
        <v>153</v>
      </c>
      <c r="S263" s="118" t="s">
        <v>623</v>
      </c>
      <c r="T263" s="120"/>
      <c r="U263" s="119"/>
      <c r="V263" s="108" t="s">
        <v>706</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707</v>
      </c>
      <c r="D264" s="96" t="str">
        <f t="shared" si="32"/>
        <v xml:space="preserve">                        Reactor Transport Cask</v>
      </c>
      <c r="E264" s="96" t="s">
        <v>35</v>
      </c>
      <c r="F264" s="96" t="s">
        <v>708</v>
      </c>
      <c r="G264" s="97">
        <v>1</v>
      </c>
      <c r="H264" s="96"/>
      <c r="I264" s="96"/>
      <c r="J264" s="102">
        <v>6750000</v>
      </c>
      <c r="K264" s="102"/>
      <c r="L264" s="108"/>
      <c r="M264" s="118"/>
      <c r="N264" s="108"/>
      <c r="O264" s="108"/>
      <c r="P264" s="105"/>
      <c r="Q264" s="105">
        <v>2022</v>
      </c>
      <c r="R264" s="108" t="s">
        <v>153</v>
      </c>
      <c r="S264" s="118" t="s">
        <v>709</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710</v>
      </c>
      <c r="D265" s="96" t="str">
        <f t="shared" si="32"/>
        <v xml:space="preserve">                        Radioactive Waste Storage Cask</v>
      </c>
      <c r="E265" s="96" t="s">
        <v>35</v>
      </c>
      <c r="F265" s="96" t="s">
        <v>711</v>
      </c>
      <c r="G265" s="97">
        <v>1</v>
      </c>
      <c r="H265" s="96"/>
      <c r="I265" s="96"/>
      <c r="J265" s="102">
        <v>1159000</v>
      </c>
      <c r="K265" s="102"/>
      <c r="L265" s="108"/>
      <c r="M265" s="118"/>
      <c r="N265" s="108"/>
      <c r="O265" s="108"/>
      <c r="P265" s="105"/>
      <c r="Q265" s="105">
        <v>2023</v>
      </c>
      <c r="R265" s="108" t="s">
        <v>153</v>
      </c>
      <c r="S265" s="118" t="s">
        <v>623</v>
      </c>
      <c r="T265" s="120"/>
      <c r="U265" s="119"/>
      <c r="V265" s="108" t="s">
        <v>706</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712</v>
      </c>
      <c r="D266" s="96" t="str">
        <f t="shared" si="32"/>
        <v xml:space="preserve">                  Annualized Helium Replenishment</v>
      </c>
      <c r="E266" s="96" t="s">
        <v>35</v>
      </c>
      <c r="F266" s="96" t="s">
        <v>568</v>
      </c>
      <c r="G266" s="97">
        <v>1</v>
      </c>
      <c r="H266" s="96"/>
      <c r="I266" s="96"/>
      <c r="J266" s="102"/>
      <c r="K266" s="102">
        <v>170</v>
      </c>
      <c r="L266" s="108" t="s">
        <v>186</v>
      </c>
      <c r="M266" s="118" t="s">
        <v>302</v>
      </c>
      <c r="N266" s="108"/>
      <c r="O266" s="108" t="s">
        <v>188</v>
      </c>
      <c r="P266" s="105"/>
      <c r="Q266" s="105">
        <v>2024</v>
      </c>
      <c r="R266" s="108" t="s">
        <v>153</v>
      </c>
      <c r="S266" s="118" t="s">
        <v>303</v>
      </c>
      <c r="T266" s="120" t="s">
        <v>303</v>
      </c>
      <c r="U266" s="119" t="s">
        <v>304</v>
      </c>
      <c r="V266" s="108" t="s">
        <v>305</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400</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410</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2026-03-24T17:59:29Z</dcterms:modified>
</cp:coreProperties>
</file>